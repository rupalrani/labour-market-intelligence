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Search_Log" sheetId="2" state="visible" r:id="rId4"/>
    <sheet name="02_Screening_Log" sheetId="3" state="visible" r:id="rId5"/>
    <sheet name="03_Extraction" sheetId="4" state="visible" r:id="rId6"/>
    <sheet name="04_Cleaning_Log" sheetId="5" state="visible" r:id="rId7"/>
    <sheet name="05_Labour_Engine" sheetId="6" state="visible" r:id="rId8"/>
    <sheet name="06_PRISMA" sheetId="7" state="visible" r:id="rId9"/>
    <sheet name="07_Bibliometric" sheetId="8" state="visible" r:id="rId10"/>
    <sheet name="08_N_gram" sheetId="9" state="visible" r:id="rId11"/>
    <sheet name="09_Formula_Sheet" sheetId="10" state="visible" r:id="rId12"/>
    <sheet name="10_References" sheetId="11" state="visible" r:id="rId13"/>
    <sheet name="11_Final_Summary"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<sst xmlns="http://schemas.openxmlformats.org/spreadsheetml/2006/main" count="748" uniqueCount="440">
  <si>
    <t xml:space="preserve">Research Workbook - Labour Market Intelligence Dashboard (Project 4)</t>
  </si>
  <si>
    <t xml:space="preserve">Purpose</t>
  </si>
  <si>
    <t xml:space="preserve">An auditable workbook for labour market analytics. It records the literature search, screening, extraction, cleaning, a live labour engine, and the formula library.</t>
  </si>
  <si>
    <t xml:space="preserve">Live labour engine</t>
  </si>
  <si>
    <t xml:space="preserve">Sheet 05 holds a weighted worker sample and computes labour indicators, group wage means, the gender wage gap, and a full Gini coefficient via the Lorenz method. Replace the sample with real PLFS extracts and every metric updates.</t>
  </si>
  <si>
    <t xml:space="preserve">Weights</t>
  </si>
  <si>
    <t xml:space="preserve">Every population estimate uses the survey weight column, as required for PLFS.</t>
  </si>
  <si>
    <t xml:space="preserve">Colour legend</t>
  </si>
  <si>
    <t xml:space="preserve">Blue text marks a hardcoded input. Black text marks a formula. Green text marks a link to another sheet.</t>
  </si>
  <si>
    <t xml:space="preserve">Verification status</t>
  </si>
  <si>
    <t xml:space="preserve">References are marked Live, meaning checked against a primary record on 2026-05-30, or Standard, meaning a canonical work pending a recheck.</t>
  </si>
  <si>
    <t xml:space="preserve">Author</t>
  </si>
  <si>
    <t xml:space="preserve">Rupal Rani. Tata Institute of Social Sciences, Mumbai.</t>
  </si>
  <si>
    <t xml:space="preserve">Search Log</t>
  </si>
  <si>
    <t xml:space="preserve">Searches run for this project. All key queries returned and were used. Sources verified against primary records.</t>
  </si>
  <si>
    <t xml:space="preserve">No</t>
  </si>
  <si>
    <t xml:space="preserve">Date</t>
  </si>
  <si>
    <t xml:space="preserve">Source / engine</t>
  </si>
  <si>
    <t xml:space="preserve">Search query</t>
  </si>
  <si>
    <t xml:space="preserve">Filters</t>
  </si>
  <si>
    <t xml:space="preserve">Hits</t>
  </si>
  <si>
    <t xml:space="preserve">Used</t>
  </si>
  <si>
    <t xml:space="preserve">Notes</t>
  </si>
  <si>
    <t xml:space="preserve">2026-05-30</t>
  </si>
  <si>
    <t xml:space="preserve">MoSPI / PIB</t>
  </si>
  <si>
    <t xml:space="preserve">Periodic Labour Force Survey methodology usual status</t>
  </si>
  <si>
    <t xml:space="preserve">official</t>
  </si>
  <si>
    <t xml:space="preserve">Y</t>
  </si>
  <si>
    <t xml:space="preserve">Primary data</t>
  </si>
  <si>
    <t xml:space="preserve">Scholar / NBER</t>
  </si>
  <si>
    <t xml:space="preserve">Mincer 1974 schooling experience earnings</t>
  </si>
  <si>
    <t xml:space="preserve">peer reviewed</t>
  </si>
  <si>
    <t xml:space="preserve">Earnings function</t>
  </si>
  <si>
    <t xml:space="preserve">Scholar</t>
  </si>
  <si>
    <t xml:space="preserve">Blinder 1973 Oaxaca 1973 wage decomposition</t>
  </si>
  <si>
    <t xml:space="preserve">Gap decomposition</t>
  </si>
  <si>
    <t xml:space="preserve">ILO / WIEGO</t>
  </si>
  <si>
    <t xml:space="preserve">Women and men in the informal economy 2018</t>
  </si>
  <si>
    <t xml:space="preserve">Informality global</t>
  </si>
  <si>
    <t xml:space="preserve">Theil 1967 entropy inequality; Gini coefficient</t>
  </si>
  <si>
    <t xml:space="preserve">Inequality measures</t>
  </si>
  <si>
    <t xml:space="preserve">ILO</t>
  </si>
  <si>
    <t xml:space="preserve">Global wage report 2018/19 gender pay gap</t>
  </si>
  <si>
    <t xml:space="preserve">Gender gap evidence</t>
  </si>
  <si>
    <t xml:space="preserve">NCEUS / PIB</t>
  </si>
  <si>
    <t xml:space="preserve">NCEUS 2009 unorganised sector Sengupta</t>
  </si>
  <si>
    <t xml:space="preserve">India informality</t>
  </si>
  <si>
    <t xml:space="preserve">Total searches</t>
  </si>
  <si>
    <t xml:space="preserve">Screening Log</t>
  </si>
  <si>
    <t xml:space="preserve">Title and abstract screening with the decision and reason. Included sources carry forward to the extraction table.</t>
  </si>
  <si>
    <t xml:space="preserve">RecID</t>
  </si>
  <si>
    <t xml:space="preserve">Short citation</t>
  </si>
  <si>
    <t xml:space="preserve">Year</t>
  </si>
  <si>
    <t xml:space="preserve">Type</t>
  </si>
  <si>
    <t xml:space="preserve">Title rel.</t>
  </si>
  <si>
    <t xml:space="preserve">Abstract rel.</t>
  </si>
  <si>
    <t xml:space="preserve">Decision</t>
  </si>
  <si>
    <t xml:space="preserve">Exclusion reason</t>
  </si>
  <si>
    <t xml:space="preserve">Atkinson</t>
  </si>
  <si>
    <t xml:space="preserve">1970</t>
  </si>
  <si>
    <t xml:space="preserve">Journal</t>
  </si>
  <si>
    <t xml:space="preserve">Include</t>
  </si>
  <si>
    <t xml:space="preserve">Blinder</t>
  </si>
  <si>
    <t xml:space="preserve">1973</t>
  </si>
  <si>
    <t xml:space="preserve">ILO informal economy</t>
  </si>
  <si>
    <t xml:space="preserve">2018</t>
  </si>
  <si>
    <t xml:space="preserve">Report</t>
  </si>
  <si>
    <t xml:space="preserve">ILO global wage report</t>
  </si>
  <si>
    <t xml:space="preserve">2019</t>
  </si>
  <si>
    <t xml:space="preserve">Mincer</t>
  </si>
  <si>
    <t xml:space="preserve">1974</t>
  </si>
  <si>
    <t xml:space="preserve">Book</t>
  </si>
  <si>
    <t xml:space="preserve">MoSPI PLFS</t>
  </si>
  <si>
    <t xml:space="preserve">2024</t>
  </si>
  <si>
    <t xml:space="preserve">NCEUS</t>
  </si>
  <si>
    <t xml:space="preserve">2009</t>
  </si>
  <si>
    <t xml:space="preserve">Oaxaca</t>
  </si>
  <si>
    <t xml:space="preserve">Rani (PLFS project)</t>
  </si>
  <si>
    <t xml:space="preserve">Project</t>
  </si>
  <si>
    <t xml:space="preserve">Theil</t>
  </si>
  <si>
    <t xml:space="preserve">1967</t>
  </si>
  <si>
    <t xml:space="preserve">News article on jobless rate</t>
  </si>
  <si>
    <t xml:space="preserve">News</t>
  </si>
  <si>
    <t xml:space="preserve">N</t>
  </si>
  <si>
    <t xml:space="preserve">Exclude</t>
  </si>
  <si>
    <t xml:space="preserve">Secondary reporting</t>
  </si>
  <si>
    <t xml:space="preserve">Coaching site PLFS summary</t>
  </si>
  <si>
    <t xml:space="preserve">2023</t>
  </si>
  <si>
    <t xml:space="preserve">Web</t>
  </si>
  <si>
    <t xml:space="preserve">Non primary source</t>
  </si>
  <si>
    <t xml:space="preserve">Duplicate Oaxaca survey copy</t>
  </si>
  <si>
    <t xml:space="preserve">2008</t>
  </si>
  <si>
    <t xml:space="preserve">Repository</t>
  </si>
  <si>
    <t xml:space="preserve">Duplicate record</t>
  </si>
  <si>
    <t xml:space="preserve">Predatory journal wage paper</t>
  </si>
  <si>
    <t xml:space="preserve">2021</t>
  </si>
  <si>
    <t xml:space="preserve">Source quality concern</t>
  </si>
  <si>
    <t xml:space="preserve">Off topic minimum wage law note</t>
  </si>
  <si>
    <t xml:space="preserve">Out of scope</t>
  </si>
  <si>
    <t xml:space="preserve">Included</t>
  </si>
  <si>
    <t xml:space="preserve">Excluded</t>
  </si>
  <si>
    <t xml:space="preserve">Extraction Table (included sources)</t>
  </si>
  <si>
    <t xml:space="preserve">One row per included source. Status marks Live (checked this session), Standard (canonical work, recheck queued), or Own (author project).</t>
  </si>
  <si>
    <t xml:space="preserve">Key</t>
  </si>
  <si>
    <t xml:space="preserve">Authors / issuer</t>
  </si>
  <si>
    <t xml:space="preserve">Level</t>
  </si>
  <si>
    <t xml:space="preserve">Method / focus</t>
  </si>
  <si>
    <t xml:space="preserve">Key finding (short)</t>
  </si>
  <si>
    <t xml:space="preserve">Relevance</t>
  </si>
  <si>
    <t xml:space="preserve">Status</t>
  </si>
  <si>
    <t xml:space="preserve">Link</t>
  </si>
  <si>
    <t xml:space="preserve">Atkinson 1970</t>
  </si>
  <si>
    <t xml:space="preserve">Global</t>
  </si>
  <si>
    <t xml:space="preserve">Theory</t>
  </si>
  <si>
    <t xml:space="preserve">Inequality and social welfare</t>
  </si>
  <si>
    <t xml:space="preserve">Inequality theory</t>
  </si>
  <si>
    <t xml:space="preserve">Standard</t>
  </si>
  <si>
    <t xml:space="preserve">JET 2(3)</t>
  </si>
  <si>
    <t xml:space="preserve">Blinder 1973</t>
  </si>
  <si>
    <t xml:space="preserve">Method</t>
  </si>
  <si>
    <t xml:space="preserve">Wage gap reduced form</t>
  </si>
  <si>
    <t xml:space="preserve">Decomposition</t>
  </si>
  <si>
    <t xml:space="preserve">Live</t>
  </si>
  <si>
    <t xml:space="preserve">JHR 8(4)</t>
  </si>
  <si>
    <t xml:space="preserve">ILO 2018</t>
  </si>
  <si>
    <t xml:space="preserve">International Labour Organization</t>
  </si>
  <si>
    <t xml:space="preserve">Statistics</t>
  </si>
  <si>
    <t xml:space="preserve">61% of workers informal</t>
  </si>
  <si>
    <t xml:space="preserve">Informality</t>
  </si>
  <si>
    <t xml:space="preserve">ilo.org</t>
  </si>
  <si>
    <t xml:space="preserve">ILO 2019</t>
  </si>
  <si>
    <t xml:space="preserve">Women paid ~20% less</t>
  </si>
  <si>
    <t xml:space="preserve">Gender gap</t>
  </si>
  <si>
    <t xml:space="preserve">Mincer 1974</t>
  </si>
  <si>
    <t xml:space="preserve">Model</t>
  </si>
  <si>
    <t xml:space="preserve">Schooling and experience earnings</t>
  </si>
  <si>
    <t xml:space="preserve">NBER</t>
  </si>
  <si>
    <t xml:space="preserve">MoSPI 2024</t>
  </si>
  <si>
    <t xml:space="preserve">Ministry of Statistics and PI</t>
  </si>
  <si>
    <t xml:space="preserve">National</t>
  </si>
  <si>
    <t xml:space="preserve">Survey</t>
  </si>
  <si>
    <t xml:space="preserve">PLFS employment and wages</t>
  </si>
  <si>
    <t xml:space="preserve">mospi.gov.in</t>
  </si>
  <si>
    <t xml:space="preserve">NCEUS 2009</t>
  </si>
  <si>
    <t xml:space="preserve">Commission</t>
  </si>
  <si>
    <t xml:space="preserve">Unorganised sector dominates</t>
  </si>
  <si>
    <t xml:space="preserve">gov.in</t>
  </si>
  <si>
    <t xml:space="preserve">Oaxaca 1973</t>
  </si>
  <si>
    <t xml:space="preserve">Male female wage differentials</t>
  </si>
  <si>
    <t xml:space="preserve">IER 14(3)</t>
  </si>
  <si>
    <t xml:space="preserve">Rani 2024</t>
  </si>
  <si>
    <t xml:space="preserve">Rani</t>
  </si>
  <si>
    <t xml:space="preserve">Applied</t>
  </si>
  <si>
    <t xml:space="preserve">PLFS earnings inequality regression</t>
  </si>
  <si>
    <t xml:space="preserve">Applied anchor</t>
  </si>
  <si>
    <t xml:space="preserve">Own</t>
  </si>
  <si>
    <t xml:space="preserve">TISS</t>
  </si>
  <si>
    <t xml:space="preserve">Theil 1967</t>
  </si>
  <si>
    <t xml:space="preserve">Entropy inequality measure</t>
  </si>
  <si>
    <t xml:space="preserve">Inequality</t>
  </si>
  <si>
    <t xml:space="preserve">North-Holland</t>
  </si>
  <si>
    <t xml:space="preserve">Included count</t>
  </si>
  <si>
    <t xml:space="preserve">Live verified</t>
  </si>
  <si>
    <t xml:space="preserve">Cleaning Log - PLFS extract (template)</t>
  </si>
  <si>
    <t xml:space="preserve">Records each cleaning decision for reproducibility. Counts are illustrative placeholders to fill on live data.</t>
  </si>
  <si>
    <t xml:space="preserve">Step</t>
  </si>
  <si>
    <t xml:space="preserve">Field</t>
  </si>
  <si>
    <t xml:space="preserve">Issue</t>
  </si>
  <si>
    <t xml:space="preserve">Action</t>
  </si>
  <si>
    <t xml:space="preserve">Rows affected</t>
  </si>
  <si>
    <t xml:space="preserve">Before</t>
  </si>
  <si>
    <t xml:space="preserve">After</t>
  </si>
  <si>
    <t xml:space="preserve">Record layout</t>
  </si>
  <si>
    <t xml:space="preserve">Fixed width codes</t>
  </si>
  <si>
    <t xml:space="preserve">Read with correct layout</t>
  </si>
  <si>
    <t xml:space="preserve">All</t>
  </si>
  <si>
    <t xml:space="preserve">raw</t>
  </si>
  <si>
    <t xml:space="preserve">parsed</t>
  </si>
  <si>
    <t xml:space="preserve">Done</t>
  </si>
  <si>
    <t xml:space="preserve">Not applied</t>
  </si>
  <si>
    <t xml:space="preserve">Apply survey weight to estimates</t>
  </si>
  <si>
    <t xml:space="preserve">unweighted</t>
  </si>
  <si>
    <t xml:space="preserve">weighted</t>
  </si>
  <si>
    <t xml:space="preserve">Activity status</t>
  </si>
  <si>
    <t xml:space="preserve">Coded</t>
  </si>
  <si>
    <t xml:space="preserve">Recode to LF categories</t>
  </si>
  <si>
    <t xml:space="preserve">codes</t>
  </si>
  <si>
    <t xml:space="preserve">employed etc</t>
  </si>
  <si>
    <t xml:space="preserve">Education</t>
  </si>
  <si>
    <t xml:space="preserve">Derive years of schooling</t>
  </si>
  <si>
    <t xml:space="preserve">code</t>
  </si>
  <si>
    <t xml:space="preserve">years</t>
  </si>
  <si>
    <t xml:space="preserve">Experience</t>
  </si>
  <si>
    <t xml:space="preserve">Missing</t>
  </si>
  <si>
    <t xml:space="preserve">age - schooling - 6, floor 0</t>
  </si>
  <si>
    <t xml:space="preserve">n/a</t>
  </si>
  <si>
    <t xml:space="preserve">experience</t>
  </si>
  <si>
    <t xml:space="preserve">Wage</t>
  </si>
  <si>
    <t xml:space="preserve">Mixed period</t>
  </si>
  <si>
    <t xml:space="preserve">Convert to monthly</t>
  </si>
  <si>
    <t xml:space="preserve">mixed</t>
  </si>
  <si>
    <t xml:space="preserve">monthly</t>
  </si>
  <si>
    <t xml:space="preserve">Top coding</t>
  </si>
  <si>
    <t xml:space="preserve">Flag and handle</t>
  </si>
  <si>
    <t xml:space="preserve">120</t>
  </si>
  <si>
    <t xml:space="preserve">capped</t>
  </si>
  <si>
    <t xml:space="preserve">flagged</t>
  </si>
  <si>
    <t xml:space="preserve">Non positive</t>
  </si>
  <si>
    <t xml:space="preserve">Drop for log model</t>
  </si>
  <si>
    <t xml:space="preserve">45</t>
  </si>
  <si>
    <t xml:space="preserve">0 or neg</t>
  </si>
  <si>
    <t xml:space="preserve">dropped</t>
  </si>
  <si>
    <t xml:space="preserve">Formality</t>
  </si>
  <si>
    <t xml:space="preserve">Flag informal</t>
  </si>
  <si>
    <t xml:space="preserve">informal flag</t>
  </si>
  <si>
    <t xml:space="preserve">Audit</t>
  </si>
  <si>
    <t xml:space="preserve">No record</t>
  </si>
  <si>
    <t xml:space="preserve">Save this log</t>
  </si>
  <si>
    <t xml:space="preserve">logged</t>
  </si>
  <si>
    <t xml:space="preserve">Steps complete</t>
  </si>
  <si>
    <t xml:space="preserve">Labour Engine - live indicators, wage gap, Gini</t>
  </si>
  <si>
    <t xml:space="preserve">Rows 4 to 19 are an illustrative worker sample. Replace with the real PLFS extract. Indicators, group wage means, the gender wage gap, and the Gini coefficient update automatically. The Gini block (right) uses the Lorenz method on wages sorted ascending.</t>
  </si>
  <si>
    <t xml:space="preserve">WorkerID</t>
  </si>
  <si>
    <t xml:space="preserve">Sex</t>
  </si>
  <si>
    <t xml:space="preserve">Group</t>
  </si>
  <si>
    <t xml:space="preserve">Education(yrs)</t>
  </si>
  <si>
    <t xml:space="preserve">Sector</t>
  </si>
  <si>
    <t xml:space="preserve">MonthlyWage</t>
  </si>
  <si>
    <t xml:space="preserve">Weight</t>
  </si>
  <si>
    <t xml:space="preserve">Indicator</t>
  </si>
  <si>
    <t xml:space="preserve">Value</t>
  </si>
  <si>
    <t xml:space="preserve">Gini (employed wages)</t>
  </si>
  <si>
    <t xml:space="preserve">emp_wage</t>
  </si>
  <si>
    <t xml:space="preserve">W01</t>
  </si>
  <si>
    <t xml:space="preserve">Male</t>
  </si>
  <si>
    <t xml:space="preserve">Gen</t>
  </si>
  <si>
    <t xml:space="preserve">Employed</t>
  </si>
  <si>
    <t xml:space="preserve">Services</t>
  </si>
  <si>
    <t xml:space="preserve">Formal</t>
  </si>
  <si>
    <t xml:space="preserve">Workers (weighted)</t>
  </si>
  <si>
    <t xml:space="preserve">W02</t>
  </si>
  <si>
    <t xml:space="preserve">Female</t>
  </si>
  <si>
    <t xml:space="preserve">Labour force (weighted)</t>
  </si>
  <si>
    <t xml:space="preserve">W03</t>
  </si>
  <si>
    <t xml:space="preserve">OBC</t>
  </si>
  <si>
    <t xml:space="preserve">Industry</t>
  </si>
  <si>
    <t xml:space="preserve">Working age (weighted)</t>
  </si>
  <si>
    <t xml:space="preserve">W04</t>
  </si>
  <si>
    <t xml:space="preserve">Informal</t>
  </si>
  <si>
    <t xml:space="preserve">LFPR</t>
  </si>
  <si>
    <t xml:space="preserve">W05</t>
  </si>
  <si>
    <t xml:space="preserve">SC</t>
  </si>
  <si>
    <t xml:space="preserve">Agriculture</t>
  </si>
  <si>
    <t xml:space="preserve">WPR</t>
  </si>
  <si>
    <t xml:space="preserve">W06</t>
  </si>
  <si>
    <t xml:space="preserve">Unemployment rate</t>
  </si>
  <si>
    <t xml:space="preserve">W07</t>
  </si>
  <si>
    <t xml:space="preserve">Male mean wage (emp)</t>
  </si>
  <si>
    <t xml:space="preserve">W08</t>
  </si>
  <si>
    <t xml:space="preserve">Female mean wage (emp)</t>
  </si>
  <si>
    <t xml:space="preserve">W09</t>
  </si>
  <si>
    <t xml:space="preserve">Unemployed</t>
  </si>
  <si>
    <t xml:space="preserve">NA</t>
  </si>
  <si>
    <t xml:space="preserve">Gender wage gap</t>
  </si>
  <si>
    <t xml:space="preserve">W10</t>
  </si>
  <si>
    <t xml:space="preserve">OutLF</t>
  </si>
  <si>
    <t xml:space="preserve">Informal share (emp)</t>
  </si>
  <si>
    <t xml:space="preserve">W11</t>
  </si>
  <si>
    <t xml:space="preserve">ST</t>
  </si>
  <si>
    <t xml:space="preserve">Mean wage (all emp)</t>
  </si>
  <si>
    <t xml:space="preserve">W12</t>
  </si>
  <si>
    <t xml:space="preserve">Return to schooling</t>
  </si>
  <si>
    <t xml:space="preserve">via Python OLS (Mincer)</t>
  </si>
  <si>
    <t xml:space="preserve">W13</t>
  </si>
  <si>
    <t xml:space="preserve">W14</t>
  </si>
  <si>
    <t xml:space="preserve">Gini</t>
  </si>
  <si>
    <t xml:space="preserve">W15</t>
  </si>
  <si>
    <t xml:space="preserve">Gini method. The thirteen employed positive wages are sorted ascending, then the Gini uses the rank-sum (Brown) formula: 2 times the rank-weighted wage sum over n times total wage, minus (n+1)/n. A higher value means more wage inequality.</t>
  </si>
  <si>
    <t xml:space="preserve">PRISMA flow</t>
  </si>
  <si>
    <t xml:space="preserve">PRISMA tracks records from identification to inclusion. The corpus includes method papers, official statistics, and the author project. Included is checked against the extraction table.</t>
  </si>
  <si>
    <t xml:space="preserve">Stage</t>
  </si>
  <si>
    <t xml:space="preserve">Count</t>
  </si>
  <si>
    <t xml:space="preserve">Formula or note</t>
  </si>
  <si>
    <t xml:space="preserve">Records identified through databases</t>
  </si>
  <si>
    <t xml:space="preserve">Sum of database hits</t>
  </si>
  <si>
    <t xml:space="preserve">Records identified through other sources</t>
  </si>
  <si>
    <t xml:space="preserve">Official reports and the author project</t>
  </si>
  <si>
    <t xml:space="preserve">Duplicates removed</t>
  </si>
  <si>
    <t xml:space="preserve">Same record across sources</t>
  </si>
  <si>
    <t xml:space="preserve">Records screened</t>
  </si>
  <si>
    <t xml:space="preserve">Identified minus duplicates</t>
  </si>
  <si>
    <t xml:space="preserve">Records excluded at title and abstract</t>
  </si>
  <si>
    <t xml:space="preserve">Off topic or low quality</t>
  </si>
  <si>
    <t xml:space="preserve">Full text assessed for eligibility</t>
  </si>
  <si>
    <t xml:space="preserve">Screened minus excluded</t>
  </si>
  <si>
    <t xml:space="preserve">Full text excluded</t>
  </si>
  <si>
    <t xml:space="preserve">See reasons below</t>
  </si>
  <si>
    <t xml:space="preserve">Sources included</t>
  </si>
  <si>
    <t xml:space="preserve">Assessed minus excluded</t>
  </si>
  <si>
    <t xml:space="preserve">Extraction rows</t>
  </si>
  <si>
    <t xml:space="preserve">Consistency check</t>
  </si>
  <si>
    <t xml:space="preserve">Exclusion reasons (full text)</t>
  </si>
  <si>
    <t xml:space="preserve">Reason</t>
  </si>
  <si>
    <t xml:space="preserve">Secondary or non primary</t>
  </si>
  <si>
    <t xml:space="preserve">Total</t>
  </si>
  <si>
    <t xml:space="preserve">Bibliometric analysis</t>
  </si>
  <si>
    <t xml:space="preserve">Counts computed from the extraction table by period, type, level, and verification status.</t>
  </si>
  <si>
    <t xml:space="preserve">By period</t>
  </si>
  <si>
    <t xml:space="preserve">By type</t>
  </si>
  <si>
    <t xml:space="preserve">Period</t>
  </si>
  <si>
    <t xml:space="preserve">Up to 1975</t>
  </si>
  <si>
    <t xml:space="preserve">1976 to 2000</t>
  </si>
  <si>
    <t xml:space="preserve">2001 to 2015</t>
  </si>
  <si>
    <t xml:space="preserve">2016 to 2024</t>
  </si>
  <si>
    <t xml:space="preserve">By level</t>
  </si>
  <si>
    <t xml:space="preserve">By status</t>
  </si>
  <si>
    <t xml:space="preserve">Interpretation. The corpus combines foundational method works from 1967 to 1974 with current official statistics. Eight of ten sources are live verified.</t>
  </si>
  <si>
    <t xml:space="preserve">N gram keyword analysis</t>
  </si>
  <si>
    <t xml:space="preserve">Column A lists included titles. The term table counts titles containing each term with COUNTIF wildcards. Full unigram and bigram analysis runs in Python with a tokeniser and stopword list.</t>
  </si>
  <si>
    <t xml:space="preserve">Included titles</t>
  </si>
  <si>
    <t xml:space="preserve">Term (unigram / bigram)</t>
  </si>
  <si>
    <t xml:space="preserve">Frequency</t>
  </si>
  <si>
    <t xml:space="preserve">on the measurement of inequality</t>
  </si>
  <si>
    <t xml:space="preserve">wage</t>
  </si>
  <si>
    <t xml:space="preserve">wage discrimination reduced form and structural estimates</t>
  </si>
  <si>
    <t xml:space="preserve">inequality</t>
  </si>
  <si>
    <t xml:space="preserve">women and men in the informal economy a statistical picture</t>
  </si>
  <si>
    <t xml:space="preserve">earnings</t>
  </si>
  <si>
    <t xml:space="preserve">global wage report what lies behind gender pay gaps</t>
  </si>
  <si>
    <t xml:space="preserve">labour</t>
  </si>
  <si>
    <t xml:space="preserve">schooling experience and earnings</t>
  </si>
  <si>
    <t xml:space="preserve">informal</t>
  </si>
  <si>
    <t xml:space="preserve">periodic labour force survey annual report</t>
  </si>
  <si>
    <t xml:space="preserve">gender</t>
  </si>
  <si>
    <t xml:space="preserve">the challenge of employment in india informal economy</t>
  </si>
  <si>
    <t xml:space="preserve">india</t>
  </si>
  <si>
    <t xml:space="preserve">male female wage differentials in urban labor markets</t>
  </si>
  <si>
    <t xml:space="preserve">employment</t>
  </si>
  <si>
    <t xml:space="preserve">earnings inequality in india multivariate analysis plfs</t>
  </si>
  <si>
    <t xml:space="preserve">economy</t>
  </si>
  <si>
    <t xml:space="preserve">economics and information theory</t>
  </si>
  <si>
    <t xml:space="preserve">survey</t>
  </si>
  <si>
    <t xml:space="preserve">Reading. Wage, inequality, and earnings are the topical core. Informal, gender, and labour mark the policy themes.</t>
  </si>
  <si>
    <t xml:space="preserve">Formula library</t>
  </si>
  <si>
    <t xml:space="preserve">Required functions with exact syntax, a live result, and a plain explanation, plus the labour formulas used in the engine. XLOOKUP, UNIQUE, FILTER, and LET show Excel 365 syntax with a supported live demo so a value always appears.</t>
  </si>
  <si>
    <t xml:space="preserve">Mini sample</t>
  </si>
  <si>
    <t xml:space="preserve">Worker</t>
  </si>
  <si>
    <t xml:space="preserve">M01</t>
  </si>
  <si>
    <t xml:space="preserve">M02</t>
  </si>
  <si>
    <t xml:space="preserve">M03</t>
  </si>
  <si>
    <t xml:space="preserve">M04</t>
  </si>
  <si>
    <t xml:space="preserve">M05</t>
  </si>
  <si>
    <t xml:space="preserve">Function reference</t>
  </si>
  <si>
    <t xml:space="preserve">Function</t>
  </si>
  <si>
    <t xml:space="preserve">Syntax example</t>
  </si>
  <si>
    <t xml:space="preserve">Live result</t>
  </si>
  <si>
    <t xml:space="preserve">Plain explanation</t>
  </si>
  <si>
    <t xml:space="preserve">IF</t>
  </si>
  <si>
    <t xml:space="preserve">IF(C5&gt;40000,"High","Low")</t>
  </si>
  <si>
    <t xml:space="preserve">Returns one value when a test is true and another when false.</t>
  </si>
  <si>
    <t xml:space="preserve">COUNTIF</t>
  </si>
  <si>
    <t xml:space="preserve">COUNTIF(B5:B9,"Female")</t>
  </si>
  <si>
    <t xml:space="preserve">Counts cells that meet one condition.</t>
  </si>
  <si>
    <t xml:space="preserve">COUNTIFS</t>
  </si>
  <si>
    <t xml:space="preserve">COUNTIFS(B5:B9,"Male",C5:C9,"&gt;45000")</t>
  </si>
  <si>
    <t xml:space="preserve">Counts rows that meet several conditions.</t>
  </si>
  <si>
    <t xml:space="preserve">SUMIF</t>
  </si>
  <si>
    <t xml:space="preserve">SUMIF(B5:B9,"Male",C5:C9)</t>
  </si>
  <si>
    <t xml:space="preserve">Adds values where a condition holds, used for weighted totals.</t>
  </si>
  <si>
    <t xml:space="preserve">AVERAGEIFS</t>
  </si>
  <si>
    <t xml:space="preserve">AVERAGEIFS(C5:C9,B5:B9,"Female")</t>
  </si>
  <si>
    <t xml:space="preserve">Group mean wage.</t>
  </si>
  <si>
    <t xml:space="preserve">MEDIAN</t>
  </si>
  <si>
    <t xml:space="preserve">MEDIAN(C5:C9)</t>
  </si>
  <si>
    <t xml:space="preserve">Middle wage, robust to skew.</t>
  </si>
  <si>
    <t xml:space="preserve">SLOPE</t>
  </si>
  <si>
    <t xml:space="preserve">SLOPE(C5:C9,A-as-num)</t>
  </si>
  <si>
    <t xml:space="preserve">Approximate linear slope, used for returns proxy.</t>
  </si>
  <si>
    <t xml:space="preserve">INDEX + MATCH</t>
  </si>
  <si>
    <t xml:space="preserve">INDEX(A5:A9,MATCH(MAX(C5:C9),C5:C9,0))</t>
  </si>
  <si>
    <t xml:space="preserve">Returns the highest paid worker.</t>
  </si>
  <si>
    <t xml:space="preserve">TEXTJOIN</t>
  </si>
  <si>
    <t xml:space="preserve">TEXTJOIN(" | ",TRUE,A5,B5)</t>
  </si>
  <si>
    <t xml:space="preserve">Joins fields. Live demo uses the &amp; operator for wide support.</t>
  </si>
  <si>
    <t xml:space="preserve">XLOOKUP</t>
  </si>
  <si>
    <t xml:space="preserve">XLOOKUP("M03",A5:A9,C5:C9)</t>
  </si>
  <si>
    <t xml:space="preserve">Excel 365 lookup. Live demo uses INDEX MATCH.</t>
  </si>
  <si>
    <t xml:space="preserve">UNIQUE</t>
  </si>
  <si>
    <t xml:space="preserve">UNIQUE(B5:B9)</t>
  </si>
  <si>
    <t xml:space="preserve">Excel 365 distinct list. Live demo counts distinct sexes.</t>
  </si>
  <si>
    <t xml:space="preserve">FILTER</t>
  </si>
  <si>
    <t xml:space="preserve">FILTER(A5:C9,B5:B9="Female")</t>
  </si>
  <si>
    <t xml:space="preserve">Excel 365 filter. Live demo counts matching rows.</t>
  </si>
  <si>
    <t xml:space="preserve">LET</t>
  </si>
  <si>
    <t xml:space="preserve">LET(g,(40000-30000)/40000,g)</t>
  </si>
  <si>
    <t xml:space="preserve">Excel 365 names a value once. Live demo shows the gender gap.</t>
  </si>
  <si>
    <t xml:space="preserve">(MaleMean - FemaleMean)/MaleMean</t>
  </si>
  <si>
    <t xml:space="preserve">Relative wage shortfall.</t>
  </si>
  <si>
    <t xml:space="preserve">Unemp rate</t>
  </si>
  <si>
    <t xml:space="preserve">Unemployed/(Emp+Unemp)</t>
  </si>
  <si>
    <t xml:space="preserve">Rate within the labour force.</t>
  </si>
  <si>
    <t xml:space="preserve">Pivot summary</t>
  </si>
  <si>
    <t xml:space="preserve">PivotTable: rows Sex, values Average Wage</t>
  </si>
  <si>
    <t xml:space="preserve">A pivot groups and averages. AVERAGEIFS gives the same group mean.</t>
  </si>
  <si>
    <t xml:space="preserve">References (APA 7)</t>
  </si>
  <si>
    <t xml:space="preserve">Full bibliography with type, level, and verification status. Live means checked against a primary record this session. Standard means a canonical work pending a recheck. Own is the author project.</t>
  </si>
  <si>
    <t xml:space="preserve">APA 7 citation</t>
  </si>
  <si>
    <t xml:space="preserve">Atkinson, A. B. (1970). On the measurement of inequality. Journal of Economic Theory, 2(3), 244-263.</t>
  </si>
  <si>
    <t xml:space="preserve">Blinder, A. S. (1973). Wage discrimination: Reduced form and structural estimates. Journal of Human Resources, 8(4), 436-455.</t>
  </si>
  <si>
    <t xml:space="preserve">International Labour Organization. (2018). Women and men in the informal economy: A statistical picture (3rd ed.). ILO.</t>
  </si>
  <si>
    <t xml:space="preserve">International Labour Organization. (2019). Global wage report 2018/19: What lies behind gender pay gaps. ILO.</t>
  </si>
  <si>
    <t xml:space="preserve">Mincer, J. (1974). Schooling, experience, and earnings. National Bureau of Economic Research.</t>
  </si>
  <si>
    <t xml:space="preserve">Ministry of Statistics and Programme Implementation. (2024). Periodic Labour Force Survey (PLFS) annual report. Government of India.</t>
  </si>
  <si>
    <t xml:space="preserve">National Commission for Enterprises in the Unorganised Sector. (2009). The challenge of employment in India: An informal economy perspective. Government of India.</t>
  </si>
  <si>
    <t xml:space="preserve">Oaxaca, R. (1973). Male-female wage differentials in urban labor markets. International Economic Review, 14(3), 693-709.</t>
  </si>
  <si>
    <t xml:space="preserve">Rani, R. (2024). Earnings inequality in India: A multivariate analysis of PLFS microdata [Course research project]. Tata Institute of Social Sciences, Mumbai.</t>
  </si>
  <si>
    <t xml:space="preserve">Theil, H. (1967). Economics and information theory. North-Holland.</t>
  </si>
  <si>
    <t xml:space="preserve">Total references</t>
  </si>
  <si>
    <t xml:space="preserve">Final Summary - Project 4</t>
  </si>
  <si>
    <t xml:space="preserve">One page status. Figures link live to the labour engine. Reference counts link to the references sheet.</t>
  </si>
  <si>
    <t xml:space="preserve">Labour Market Intelligence Dashboard</t>
  </si>
  <si>
    <t xml:space="preserve">Core question</t>
  </si>
  <si>
    <t xml:space="preserve">How do labour outcomes and the wage gap vary across groups</t>
  </si>
  <si>
    <t xml:space="preserve">PLFS microdata (MoSPI), ILO global frame</t>
  </si>
  <si>
    <t xml:space="preserve">Engine results (illustrative sample)</t>
  </si>
  <si>
    <t xml:space="preserve">Informal share (employed)</t>
  </si>
  <si>
    <t xml:space="preserve">Wage Gini (employed)</t>
  </si>
  <si>
    <t xml:space="preserve">Evidence base</t>
  </si>
  <si>
    <t xml:space="preserve">Sources included (PRISMA)</t>
  </si>
  <si>
    <t xml:space="preserve">Status checklist</t>
  </si>
  <si>
    <t xml:space="preserve">Search logged</t>
  </si>
  <si>
    <t xml:space="preserve">Screening complete</t>
  </si>
  <si>
    <t xml:space="preserve">Extraction complete</t>
  </si>
  <si>
    <t xml:space="preserve">Cleaning logged</t>
  </si>
  <si>
    <t xml:space="preserve">Labour engine computing</t>
  </si>
  <si>
    <t xml:space="preserve">Gini computed</t>
  </si>
  <si>
    <t xml:space="preserve">PRISMA consistent</t>
  </si>
  <si>
    <t xml:space="preserve">Bibliometric done</t>
  </si>
  <si>
    <t xml:space="preserve">N gram done</t>
  </si>
  <si>
    <t xml:space="preserve">References verified</t>
  </si>
</sst>
</file>

<file path=xl/styles.xml><?xml version="1.0" encoding="utf-8"?>
<styleSheet xmlns="http://schemas.openxmlformats.org/spreadsheetml/2006/main">
  <numFmts count="6">
    <numFmt numFmtId="164" formatCode="General"/>
    <numFmt numFmtId="165" formatCode="0"/>
    <numFmt numFmtId="166" formatCode="#,##0"/>
    <numFmt numFmtId="167" formatCode="0.0"/>
    <numFmt numFmtId="168" formatCode="0.0%"/>
    <numFmt numFmtId="169" formatCode="0.000"/>
  </numFmts>
  <fonts count="11">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b val="true"/>
      <sz val="11"/>
      <name val="Arial"/>
      <family val="0"/>
      <charset val="1"/>
    </font>
    <font>
      <sz val="11"/>
      <name val="Arial"/>
      <family val="0"/>
      <charset val="1"/>
    </font>
    <font>
      <i val="true"/>
      <sz val="9"/>
      <color rgb="FF555555"/>
      <name val="Arial"/>
      <family val="0"/>
      <charset val="1"/>
    </font>
    <font>
      <b val="true"/>
      <sz val="11"/>
      <color rgb="FFFFFFFF"/>
      <name val="Arial"/>
      <family val="0"/>
      <charset val="1"/>
    </font>
    <font>
      <sz val="11"/>
      <color rgb="FF0000FF"/>
      <name val="Arial"/>
      <family val="0"/>
      <charset val="1"/>
    </font>
    <font>
      <sz val="11"/>
      <color rgb="FF008000"/>
      <name val="Arial"/>
      <family val="0"/>
      <charset val="1"/>
    </font>
  </fonts>
  <fills count="4">
    <fill>
      <patternFill patternType="none"/>
    </fill>
    <fill>
      <patternFill patternType="gray125"/>
    </fill>
    <fill>
      <patternFill patternType="solid">
        <fgColor rgb="FFD9E2F3"/>
        <bgColor rgb="FFCCFFFF"/>
      </patternFill>
    </fill>
    <fill>
      <patternFill patternType="solid">
        <fgColor rgb="FF1F3864"/>
        <bgColor rgb="FF333333"/>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7" fontId="6" fillId="0" borderId="1" xfId="0" applyFont="true" applyBorder="true" applyAlignment="true" applyProtection="false">
      <alignment horizontal="general" vertical="top" textRotation="0" wrapText="true" indent="0" shrinkToFit="false"/>
      <protection locked="true" hidden="false"/>
    </xf>
    <xf numFmtId="165" fontId="6" fillId="3" borderId="1" xfId="0" applyFont="true" applyBorder="true" applyAlignment="true" applyProtection="false">
      <alignment horizontal="center" vertical="center" textRotation="0" wrapText="false" indent="0" shrinkToFit="false"/>
      <protection locked="true" hidden="false"/>
    </xf>
    <xf numFmtId="166" fontId="6" fillId="3" borderId="1"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68" fontId="6"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9" fontId="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8" fontId="10" fillId="0" borderId="1" xfId="0" applyFont="true" applyBorder="true" applyAlignment="true" applyProtection="false">
      <alignment horizontal="general" vertical="top" textRotation="0" wrapText="true" indent="0" shrinkToFit="false"/>
      <protection locked="true" hidden="false"/>
    </xf>
    <xf numFmtId="169" fontId="1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4"/>
  </cols>
  <sheetData>
    <row r="1" customFormat="false" ht="18.55" hidden="false" customHeight="false" outlineLevel="0" collapsed="false">
      <c r="A1" s="1" t="s">
        <v>0</v>
      </c>
      <c r="B1" s="1"/>
    </row>
    <row r="3" customFormat="false" ht="43.5" hidden="false" customHeight="true" outlineLevel="0" collapsed="false">
      <c r="A3" s="2" t="s">
        <v>1</v>
      </c>
      <c r="B3" s="3" t="s">
        <v>2</v>
      </c>
    </row>
    <row r="4" customFormat="false" ht="43.5" hidden="false" customHeight="true" outlineLevel="0" collapsed="false">
      <c r="A4" s="2" t="s">
        <v>3</v>
      </c>
      <c r="B4" s="3" t="s">
        <v>4</v>
      </c>
    </row>
    <row r="5" customFormat="false" ht="43.5" hidden="false" customHeight="true" outlineLevel="0" collapsed="false">
      <c r="A5" s="2" t="s">
        <v>5</v>
      </c>
      <c r="B5" s="3" t="s">
        <v>6</v>
      </c>
    </row>
    <row r="6" customFormat="false" ht="43.5" hidden="false" customHeight="true" outlineLevel="0" collapsed="false">
      <c r="A6" s="2" t="s">
        <v>7</v>
      </c>
      <c r="B6" s="3" t="s">
        <v>8</v>
      </c>
    </row>
    <row r="7" customFormat="false" ht="43.5" hidden="false" customHeight="true" outlineLevel="0" collapsed="false">
      <c r="A7" s="2" t="s">
        <v>9</v>
      </c>
      <c r="B7" s="3" t="s">
        <v>10</v>
      </c>
    </row>
    <row r="8" customFormat="false" ht="43.5" hidden="false" customHeight="true" outlineLevel="0" collapsed="false">
      <c r="A8" s="2" t="s">
        <v>11</v>
      </c>
      <c r="B8" s="3" t="s">
        <v>12</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20"/>
    <col collapsed="false" customWidth="true" hidden="false" outlineLevel="0" max="4" min="4" style="0" width="40"/>
    <col collapsed="false" customWidth="true" hidden="false" outlineLevel="0" max="5" min="5" style="0" width="14"/>
    <col collapsed="false" customWidth="true" hidden="false" outlineLevel="0" max="6" min="6" style="0" width="8"/>
    <col collapsed="false" customWidth="true" hidden="false" outlineLevel="0" max="7" min="7" style="0" width="9"/>
    <col collapsed="false" customWidth="true" hidden="false" outlineLevel="0" max="8" min="8" style="0" width="26"/>
  </cols>
  <sheetData>
    <row r="1" customFormat="false" ht="18.55" hidden="false" customHeight="false" outlineLevel="0" collapsed="false">
      <c r="A1" s="1" t="s">
        <v>13</v>
      </c>
      <c r="B1" s="1"/>
      <c r="C1" s="1"/>
      <c r="D1" s="1"/>
      <c r="E1" s="1"/>
      <c r="F1" s="1"/>
      <c r="G1" s="1"/>
      <c r="H1" s="1"/>
    </row>
    <row r="2" customFormat="false" ht="15" hidden="false" customHeight="true" outlineLevel="0" collapsed="false">
      <c r="A2" s="4" t="s">
        <v>14</v>
      </c>
      <c r="B2" s="4"/>
      <c r="C2" s="4"/>
      <c r="D2" s="4"/>
      <c r="E2" s="4"/>
      <c r="F2" s="4"/>
      <c r="G2" s="4"/>
      <c r="H2" s="4"/>
    </row>
    <row r="3" customFormat="false" ht="15" hidden="false" customHeight="false" outlineLevel="0" collapsed="false">
      <c r="A3" s="5" t="s">
        <v>15</v>
      </c>
      <c r="B3" s="5" t="s">
        <v>16</v>
      </c>
      <c r="C3" s="5" t="s">
        <v>17</v>
      </c>
      <c r="D3" s="5" t="s">
        <v>18</v>
      </c>
      <c r="E3" s="5" t="s">
        <v>19</v>
      </c>
      <c r="F3" s="5" t="s">
        <v>20</v>
      </c>
      <c r="G3" s="5" t="s">
        <v>21</v>
      </c>
      <c r="H3" s="5" t="s">
        <v>22</v>
      </c>
    </row>
    <row r="4" customFormat="false" ht="26.85" hidden="false" customHeight="false" outlineLevel="0" collapsed="false">
      <c r="A4" s="6" t="n">
        <v>1</v>
      </c>
      <c r="B4" s="6" t="s">
        <v>23</v>
      </c>
      <c r="C4" s="6" t="s">
        <v>24</v>
      </c>
      <c r="D4" s="3" t="s">
        <v>25</v>
      </c>
      <c r="E4" s="6" t="s">
        <v>26</v>
      </c>
      <c r="F4" s="6" t="n">
        <v>10</v>
      </c>
      <c r="G4" s="6" t="s">
        <v>27</v>
      </c>
      <c r="H4" s="3" t="s">
        <v>28</v>
      </c>
    </row>
    <row r="5" customFormat="false" ht="26.85" hidden="false" customHeight="false" outlineLevel="0" collapsed="false">
      <c r="A5" s="6" t="n">
        <v>2</v>
      </c>
      <c r="B5" s="6" t="s">
        <v>23</v>
      </c>
      <c r="C5" s="6" t="s">
        <v>29</v>
      </c>
      <c r="D5" s="3" t="s">
        <v>30</v>
      </c>
      <c r="E5" s="6" t="s">
        <v>31</v>
      </c>
      <c r="F5" s="6" t="n">
        <v>8</v>
      </c>
      <c r="G5" s="6" t="s">
        <v>27</v>
      </c>
      <c r="H5" s="3" t="s">
        <v>32</v>
      </c>
    </row>
    <row r="6" customFormat="false" ht="26.85" hidden="false" customHeight="false" outlineLevel="0" collapsed="false">
      <c r="A6" s="6" t="n">
        <v>3</v>
      </c>
      <c r="B6" s="6" t="s">
        <v>23</v>
      </c>
      <c r="C6" s="6" t="s">
        <v>33</v>
      </c>
      <c r="D6" s="3" t="s">
        <v>34</v>
      </c>
      <c r="E6" s="6" t="s">
        <v>31</v>
      </c>
      <c r="F6" s="6" t="n">
        <v>9</v>
      </c>
      <c r="G6" s="6" t="s">
        <v>27</v>
      </c>
      <c r="H6" s="3" t="s">
        <v>35</v>
      </c>
    </row>
    <row r="7" customFormat="false" ht="26.85" hidden="false" customHeight="false" outlineLevel="0" collapsed="false">
      <c r="A7" s="6" t="n">
        <v>4</v>
      </c>
      <c r="B7" s="6" t="s">
        <v>23</v>
      </c>
      <c r="C7" s="6" t="s">
        <v>36</v>
      </c>
      <c r="D7" s="3" t="s">
        <v>37</v>
      </c>
      <c r="E7" s="6" t="s">
        <v>26</v>
      </c>
      <c r="F7" s="6" t="n">
        <v>9</v>
      </c>
      <c r="G7" s="6" t="s">
        <v>27</v>
      </c>
      <c r="H7" s="3" t="s">
        <v>38</v>
      </c>
    </row>
    <row r="8" customFormat="false" ht="26.85" hidden="false" customHeight="false" outlineLevel="0" collapsed="false">
      <c r="A8" s="6" t="n">
        <v>5</v>
      </c>
      <c r="B8" s="6" t="s">
        <v>23</v>
      </c>
      <c r="C8" s="6" t="s">
        <v>33</v>
      </c>
      <c r="D8" s="3" t="s">
        <v>39</v>
      </c>
      <c r="E8" s="6" t="s">
        <v>31</v>
      </c>
      <c r="F8" s="6" t="n">
        <v>10</v>
      </c>
      <c r="G8" s="6" t="s">
        <v>27</v>
      </c>
      <c r="H8" s="3" t="s">
        <v>40</v>
      </c>
    </row>
    <row r="9" customFormat="false" ht="26.85" hidden="false" customHeight="false" outlineLevel="0" collapsed="false">
      <c r="A9" s="6" t="n">
        <v>6</v>
      </c>
      <c r="B9" s="6" t="s">
        <v>23</v>
      </c>
      <c r="C9" s="6" t="s">
        <v>41</v>
      </c>
      <c r="D9" s="3" t="s">
        <v>42</v>
      </c>
      <c r="E9" s="6" t="s">
        <v>26</v>
      </c>
      <c r="F9" s="6" t="n">
        <v>9</v>
      </c>
      <c r="G9" s="6" t="s">
        <v>27</v>
      </c>
      <c r="H9" s="3" t="s">
        <v>43</v>
      </c>
    </row>
    <row r="10" customFormat="false" ht="26.85" hidden="false" customHeight="false" outlineLevel="0" collapsed="false">
      <c r="A10" s="6" t="n">
        <v>7</v>
      </c>
      <c r="B10" s="6" t="s">
        <v>23</v>
      </c>
      <c r="C10" s="6" t="s">
        <v>44</v>
      </c>
      <c r="D10" s="3" t="s">
        <v>45</v>
      </c>
      <c r="E10" s="6" t="s">
        <v>26</v>
      </c>
      <c r="F10" s="6" t="n">
        <v>8</v>
      </c>
      <c r="G10" s="6" t="s">
        <v>27</v>
      </c>
      <c r="H10" s="3" t="s">
        <v>46</v>
      </c>
    </row>
    <row r="12" customFormat="false" ht="15" hidden="false" customHeight="false" outlineLevel="0" collapsed="false">
      <c r="C12" s="7" t="s">
        <v>47</v>
      </c>
      <c r="F12" s="7" t="n">
        <f aca="false">COUNTA(A4:A10)</f>
        <v>7</v>
      </c>
    </row>
    <row r="13" customFormat="false" ht="15" hidden="false" customHeight="false" outlineLevel="0" collapsed="false">
      <c r="C13" s="7" t="s">
        <v>21</v>
      </c>
      <c r="F13" s="7" t="n">
        <f aca="false">COUNTIF(G4:G10,"Y")</f>
        <v>7</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32"/>
    <col collapsed="false" customWidth="true" hidden="false" outlineLevel="0" max="3" min="3" style="0" width="8"/>
    <col collapsed="false" customWidth="true" hidden="false" outlineLevel="0" max="5" min="4" style="0" width="12"/>
    <col collapsed="false" customWidth="true" hidden="false" outlineLevel="0" max="6" min="6" style="0" width="13"/>
    <col collapsed="false" customWidth="true" hidden="false" outlineLevel="0" max="7" min="7" style="0" width="12"/>
    <col collapsed="false" customWidth="true" hidden="false" outlineLevel="0" max="8" min="8" style="0" width="26"/>
  </cols>
  <sheetData>
    <row r="1" customFormat="false" ht="18.55" hidden="false" customHeight="false" outlineLevel="0" collapsed="false">
      <c r="A1" s="1" t="s">
        <v>48</v>
      </c>
      <c r="B1" s="1"/>
      <c r="C1" s="1"/>
      <c r="D1" s="1"/>
      <c r="E1" s="1"/>
      <c r="F1" s="1"/>
      <c r="G1" s="1"/>
      <c r="H1" s="1"/>
    </row>
    <row r="2" customFormat="false" ht="15" hidden="false" customHeight="true" outlineLevel="0" collapsed="false">
      <c r="A2" s="4" t="s">
        <v>49</v>
      </c>
      <c r="B2" s="4"/>
      <c r="C2" s="4"/>
      <c r="D2" s="4"/>
      <c r="E2" s="4"/>
      <c r="F2" s="4"/>
      <c r="G2" s="4"/>
      <c r="H2" s="4"/>
    </row>
    <row r="3" customFormat="false" ht="15" hidden="false" customHeight="false" outlineLevel="0" collapsed="false">
      <c r="A3" s="5" t="s">
        <v>50</v>
      </c>
      <c r="B3" s="5" t="s">
        <v>51</v>
      </c>
      <c r="C3" s="5" t="s">
        <v>52</v>
      </c>
      <c r="D3" s="5" t="s">
        <v>53</v>
      </c>
      <c r="E3" s="5" t="s">
        <v>54</v>
      </c>
      <c r="F3" s="5" t="s">
        <v>55</v>
      </c>
      <c r="G3" s="5" t="s">
        <v>56</v>
      </c>
      <c r="H3" s="5" t="s">
        <v>57</v>
      </c>
    </row>
    <row r="4" customFormat="false" ht="15" hidden="false" customHeight="false" outlineLevel="0" collapsed="false">
      <c r="A4" s="3" t="n">
        <v>1</v>
      </c>
      <c r="B4" s="3" t="s">
        <v>58</v>
      </c>
      <c r="C4" s="3" t="s">
        <v>59</v>
      </c>
      <c r="D4" s="3" t="s">
        <v>60</v>
      </c>
      <c r="E4" s="8" t="s">
        <v>27</v>
      </c>
      <c r="F4" s="8" t="s">
        <v>27</v>
      </c>
      <c r="G4" s="8" t="s">
        <v>61</v>
      </c>
      <c r="H4" s="3"/>
    </row>
    <row r="5" customFormat="false" ht="15" hidden="false" customHeight="false" outlineLevel="0" collapsed="false">
      <c r="A5" s="3" t="n">
        <v>2</v>
      </c>
      <c r="B5" s="3" t="s">
        <v>62</v>
      </c>
      <c r="C5" s="3" t="s">
        <v>63</v>
      </c>
      <c r="D5" s="3" t="s">
        <v>60</v>
      </c>
      <c r="E5" s="8" t="s">
        <v>27</v>
      </c>
      <c r="F5" s="8" t="s">
        <v>27</v>
      </c>
      <c r="G5" s="8" t="s">
        <v>61</v>
      </c>
      <c r="H5" s="3"/>
    </row>
    <row r="6" customFormat="false" ht="15" hidden="false" customHeight="false" outlineLevel="0" collapsed="false">
      <c r="A6" s="3" t="n">
        <v>3</v>
      </c>
      <c r="B6" s="3" t="s">
        <v>64</v>
      </c>
      <c r="C6" s="3" t="s">
        <v>65</v>
      </c>
      <c r="D6" s="3" t="s">
        <v>66</v>
      </c>
      <c r="E6" s="8" t="s">
        <v>27</v>
      </c>
      <c r="F6" s="8" t="s">
        <v>27</v>
      </c>
      <c r="G6" s="8" t="s">
        <v>61</v>
      </c>
      <c r="H6" s="3"/>
    </row>
    <row r="7" customFormat="false" ht="15" hidden="false" customHeight="false" outlineLevel="0" collapsed="false">
      <c r="A7" s="3" t="n">
        <v>4</v>
      </c>
      <c r="B7" s="3" t="s">
        <v>67</v>
      </c>
      <c r="C7" s="3" t="s">
        <v>68</v>
      </c>
      <c r="D7" s="3" t="s">
        <v>66</v>
      </c>
      <c r="E7" s="8" t="s">
        <v>27</v>
      </c>
      <c r="F7" s="8" t="s">
        <v>27</v>
      </c>
      <c r="G7" s="8" t="s">
        <v>61</v>
      </c>
      <c r="H7" s="3"/>
    </row>
    <row r="8" customFormat="false" ht="15" hidden="false" customHeight="false" outlineLevel="0" collapsed="false">
      <c r="A8" s="3" t="n">
        <v>5</v>
      </c>
      <c r="B8" s="3" t="s">
        <v>69</v>
      </c>
      <c r="C8" s="3" t="s">
        <v>70</v>
      </c>
      <c r="D8" s="3" t="s">
        <v>71</v>
      </c>
      <c r="E8" s="8" t="s">
        <v>27</v>
      </c>
      <c r="F8" s="8" t="s">
        <v>27</v>
      </c>
      <c r="G8" s="8" t="s">
        <v>61</v>
      </c>
      <c r="H8" s="3"/>
    </row>
    <row r="9" customFormat="false" ht="15" hidden="false" customHeight="false" outlineLevel="0" collapsed="false">
      <c r="A9" s="3" t="n">
        <v>6</v>
      </c>
      <c r="B9" s="3" t="s">
        <v>72</v>
      </c>
      <c r="C9" s="3" t="s">
        <v>73</v>
      </c>
      <c r="D9" s="3" t="s">
        <v>66</v>
      </c>
      <c r="E9" s="8" t="s">
        <v>27</v>
      </c>
      <c r="F9" s="8" t="s">
        <v>27</v>
      </c>
      <c r="G9" s="8" t="s">
        <v>61</v>
      </c>
      <c r="H9" s="3"/>
    </row>
    <row r="10" customFormat="false" ht="15" hidden="false" customHeight="false" outlineLevel="0" collapsed="false">
      <c r="A10" s="3" t="n">
        <v>7</v>
      </c>
      <c r="B10" s="3" t="s">
        <v>74</v>
      </c>
      <c r="C10" s="3" t="s">
        <v>75</v>
      </c>
      <c r="D10" s="3" t="s">
        <v>66</v>
      </c>
      <c r="E10" s="8" t="s">
        <v>27</v>
      </c>
      <c r="F10" s="8" t="s">
        <v>27</v>
      </c>
      <c r="G10" s="8" t="s">
        <v>61</v>
      </c>
      <c r="H10" s="3"/>
    </row>
    <row r="11" customFormat="false" ht="15" hidden="false" customHeight="false" outlineLevel="0" collapsed="false">
      <c r="A11" s="3" t="n">
        <v>8</v>
      </c>
      <c r="B11" s="3" t="s">
        <v>76</v>
      </c>
      <c r="C11" s="3" t="s">
        <v>63</v>
      </c>
      <c r="D11" s="3" t="s">
        <v>60</v>
      </c>
      <c r="E11" s="8" t="s">
        <v>27</v>
      </c>
      <c r="F11" s="8" t="s">
        <v>27</v>
      </c>
      <c r="G11" s="8" t="s">
        <v>61</v>
      </c>
      <c r="H11" s="3"/>
    </row>
    <row r="12" customFormat="false" ht="15" hidden="false" customHeight="false" outlineLevel="0" collapsed="false">
      <c r="A12" s="3" t="n">
        <v>9</v>
      </c>
      <c r="B12" s="3" t="s">
        <v>77</v>
      </c>
      <c r="C12" s="3" t="s">
        <v>73</v>
      </c>
      <c r="D12" s="3" t="s">
        <v>78</v>
      </c>
      <c r="E12" s="8" t="s">
        <v>27</v>
      </c>
      <c r="F12" s="8" t="s">
        <v>27</v>
      </c>
      <c r="G12" s="8" t="s">
        <v>61</v>
      </c>
      <c r="H12" s="3"/>
    </row>
    <row r="13" customFormat="false" ht="15" hidden="false" customHeight="false" outlineLevel="0" collapsed="false">
      <c r="A13" s="3" t="n">
        <v>10</v>
      </c>
      <c r="B13" s="3" t="s">
        <v>79</v>
      </c>
      <c r="C13" s="3" t="s">
        <v>80</v>
      </c>
      <c r="D13" s="3" t="s">
        <v>71</v>
      </c>
      <c r="E13" s="8" t="s">
        <v>27</v>
      </c>
      <c r="F13" s="8" t="s">
        <v>27</v>
      </c>
      <c r="G13" s="8" t="s">
        <v>61</v>
      </c>
      <c r="H13" s="3"/>
    </row>
    <row r="14" customFormat="false" ht="15" hidden="false" customHeight="false" outlineLevel="0" collapsed="false">
      <c r="A14" s="3" t="n">
        <v>11</v>
      </c>
      <c r="B14" s="3" t="s">
        <v>81</v>
      </c>
      <c r="C14" s="3" t="s">
        <v>73</v>
      </c>
      <c r="D14" s="3" t="s">
        <v>82</v>
      </c>
      <c r="E14" s="8" t="s">
        <v>27</v>
      </c>
      <c r="F14" s="8" t="s">
        <v>83</v>
      </c>
      <c r="G14" s="8" t="s">
        <v>84</v>
      </c>
      <c r="H14" s="3" t="s">
        <v>85</v>
      </c>
    </row>
    <row r="15" customFormat="false" ht="15" hidden="false" customHeight="false" outlineLevel="0" collapsed="false">
      <c r="A15" s="3" t="n">
        <v>12</v>
      </c>
      <c r="B15" s="3" t="s">
        <v>86</v>
      </c>
      <c r="C15" s="3" t="s">
        <v>87</v>
      </c>
      <c r="D15" s="3" t="s">
        <v>88</v>
      </c>
      <c r="E15" s="8" t="s">
        <v>27</v>
      </c>
      <c r="F15" s="8" t="s">
        <v>83</v>
      </c>
      <c r="G15" s="8" t="s">
        <v>84</v>
      </c>
      <c r="H15" s="3" t="s">
        <v>89</v>
      </c>
    </row>
    <row r="16" customFormat="false" ht="15" hidden="false" customHeight="false" outlineLevel="0" collapsed="false">
      <c r="A16" s="3" t="n">
        <v>13</v>
      </c>
      <c r="B16" s="3" t="s">
        <v>90</v>
      </c>
      <c r="C16" s="3" t="s">
        <v>91</v>
      </c>
      <c r="D16" s="3" t="s">
        <v>92</v>
      </c>
      <c r="E16" s="8" t="s">
        <v>27</v>
      </c>
      <c r="F16" s="8" t="s">
        <v>27</v>
      </c>
      <c r="G16" s="8" t="s">
        <v>84</v>
      </c>
      <c r="H16" s="3" t="s">
        <v>93</v>
      </c>
    </row>
    <row r="17" customFormat="false" ht="15" hidden="false" customHeight="false" outlineLevel="0" collapsed="false">
      <c r="A17" s="3" t="n">
        <v>14</v>
      </c>
      <c r="B17" s="3" t="s">
        <v>94</v>
      </c>
      <c r="C17" s="3" t="s">
        <v>95</v>
      </c>
      <c r="D17" s="3" t="s">
        <v>60</v>
      </c>
      <c r="E17" s="8" t="s">
        <v>27</v>
      </c>
      <c r="F17" s="8" t="s">
        <v>83</v>
      </c>
      <c r="G17" s="8" t="s">
        <v>84</v>
      </c>
      <c r="H17" s="3" t="s">
        <v>96</v>
      </c>
    </row>
    <row r="18" customFormat="false" ht="15" hidden="false" customHeight="false" outlineLevel="0" collapsed="false">
      <c r="A18" s="3" t="n">
        <v>15</v>
      </c>
      <c r="B18" s="3" t="s">
        <v>97</v>
      </c>
      <c r="C18" s="3" t="s">
        <v>68</v>
      </c>
      <c r="D18" s="3" t="s">
        <v>88</v>
      </c>
      <c r="E18" s="8" t="s">
        <v>27</v>
      </c>
      <c r="F18" s="8" t="s">
        <v>83</v>
      </c>
      <c r="G18" s="8" t="s">
        <v>84</v>
      </c>
      <c r="H18" s="3" t="s">
        <v>98</v>
      </c>
    </row>
    <row r="20" customFormat="false" ht="15" hidden="false" customHeight="false" outlineLevel="0" collapsed="false">
      <c r="B20" s="7" t="s">
        <v>99</v>
      </c>
      <c r="G20" s="7" t="n">
        <f aca="false">COUNTIF(G4:G18,"Include")</f>
        <v>10</v>
      </c>
    </row>
    <row r="21" customFormat="false" ht="15" hidden="false" customHeight="false" outlineLevel="0" collapsed="false">
      <c r="B21" s="7" t="s">
        <v>100</v>
      </c>
      <c r="G21" s="7" t="n">
        <f aca="false">COUNTIF(G4:G18,"Exclude")</f>
        <v>5</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24"/>
    <col collapsed="false" customWidth="true" hidden="false" outlineLevel="0" max="3" min="3" style="0" width="7"/>
    <col collapsed="false" customWidth="true" hidden="false" outlineLevel="0" max="5" min="4" style="0" width="9"/>
    <col collapsed="false" customWidth="true" hidden="false" outlineLevel="0" max="6" min="6" style="0" width="20"/>
    <col collapsed="false" customWidth="true" hidden="false" outlineLevel="0" max="7" min="7" style="0" width="28"/>
    <col collapsed="false" customWidth="true" hidden="false" outlineLevel="0" max="8" min="8" style="0" width="17"/>
    <col collapsed="false" customWidth="true" hidden="false" outlineLevel="0" max="9" min="9" style="0" width="9"/>
    <col collapsed="false" customWidth="true" hidden="false" outlineLevel="0" max="10" min="10" style="0" width="22"/>
  </cols>
  <sheetData>
    <row r="1" customFormat="false" ht="18.55" hidden="false" customHeight="false" outlineLevel="0" collapsed="false">
      <c r="A1" s="1" t="s">
        <v>101</v>
      </c>
      <c r="B1" s="1"/>
      <c r="C1" s="1"/>
      <c r="D1" s="1"/>
      <c r="E1" s="1"/>
      <c r="F1" s="1"/>
      <c r="G1" s="1"/>
      <c r="H1" s="1"/>
      <c r="I1" s="1"/>
      <c r="J1" s="1"/>
    </row>
    <row r="2" customFormat="false" ht="15" hidden="false" customHeight="true" outlineLevel="0" collapsed="false">
      <c r="A2" s="4" t="s">
        <v>102</v>
      </c>
      <c r="B2" s="4"/>
      <c r="C2" s="4"/>
      <c r="D2" s="4"/>
      <c r="E2" s="4"/>
      <c r="F2" s="4"/>
      <c r="G2" s="4"/>
      <c r="H2" s="4"/>
      <c r="I2" s="4"/>
      <c r="J2" s="4"/>
    </row>
    <row r="3" customFormat="false" ht="15" hidden="false" customHeight="false" outlineLevel="0" collapsed="false">
      <c r="A3" s="5" t="s">
        <v>103</v>
      </c>
      <c r="B3" s="5" t="s">
        <v>104</v>
      </c>
      <c r="C3" s="5" t="s">
        <v>52</v>
      </c>
      <c r="D3" s="5" t="s">
        <v>105</v>
      </c>
      <c r="E3" s="5" t="s">
        <v>53</v>
      </c>
      <c r="F3" s="5" t="s">
        <v>106</v>
      </c>
      <c r="G3" s="5" t="s">
        <v>107</v>
      </c>
      <c r="H3" s="5" t="s">
        <v>108</v>
      </c>
      <c r="I3" s="5" t="s">
        <v>109</v>
      </c>
      <c r="J3" s="5" t="s">
        <v>110</v>
      </c>
    </row>
    <row r="4" customFormat="false" ht="15" hidden="false" customHeight="false" outlineLevel="0" collapsed="false">
      <c r="A4" s="6" t="s">
        <v>111</v>
      </c>
      <c r="B4" s="6" t="s">
        <v>58</v>
      </c>
      <c r="C4" s="9" t="n">
        <v>1970</v>
      </c>
      <c r="D4" s="8" t="s">
        <v>112</v>
      </c>
      <c r="E4" s="6" t="s">
        <v>60</v>
      </c>
      <c r="F4" s="3" t="s">
        <v>113</v>
      </c>
      <c r="G4" s="3" t="s">
        <v>114</v>
      </c>
      <c r="H4" s="3" t="s">
        <v>115</v>
      </c>
      <c r="I4" s="8" t="s">
        <v>116</v>
      </c>
      <c r="J4" s="6" t="s">
        <v>117</v>
      </c>
    </row>
    <row r="5" customFormat="false" ht="15" hidden="false" customHeight="false" outlineLevel="0" collapsed="false">
      <c r="A5" s="6" t="s">
        <v>118</v>
      </c>
      <c r="B5" s="6" t="s">
        <v>62</v>
      </c>
      <c r="C5" s="9" t="n">
        <v>1973</v>
      </c>
      <c r="D5" s="8" t="s">
        <v>112</v>
      </c>
      <c r="E5" s="6" t="s">
        <v>60</v>
      </c>
      <c r="F5" s="3" t="s">
        <v>119</v>
      </c>
      <c r="G5" s="3" t="s">
        <v>120</v>
      </c>
      <c r="H5" s="3" t="s">
        <v>121</v>
      </c>
      <c r="I5" s="8" t="s">
        <v>122</v>
      </c>
      <c r="J5" s="6" t="s">
        <v>123</v>
      </c>
    </row>
    <row r="6" customFormat="false" ht="15" hidden="false" customHeight="false" outlineLevel="0" collapsed="false">
      <c r="A6" s="6" t="s">
        <v>124</v>
      </c>
      <c r="B6" s="6" t="s">
        <v>125</v>
      </c>
      <c r="C6" s="9" t="n">
        <v>2018</v>
      </c>
      <c r="D6" s="8" t="s">
        <v>112</v>
      </c>
      <c r="E6" s="6" t="s">
        <v>66</v>
      </c>
      <c r="F6" s="3" t="s">
        <v>126</v>
      </c>
      <c r="G6" s="3" t="s">
        <v>127</v>
      </c>
      <c r="H6" s="3" t="s">
        <v>128</v>
      </c>
      <c r="I6" s="8" t="s">
        <v>122</v>
      </c>
      <c r="J6" s="6" t="s">
        <v>129</v>
      </c>
    </row>
    <row r="7" customFormat="false" ht="15" hidden="false" customHeight="false" outlineLevel="0" collapsed="false">
      <c r="A7" s="6" t="s">
        <v>130</v>
      </c>
      <c r="B7" s="6" t="s">
        <v>125</v>
      </c>
      <c r="C7" s="9" t="n">
        <v>2019</v>
      </c>
      <c r="D7" s="8" t="s">
        <v>112</v>
      </c>
      <c r="E7" s="6" t="s">
        <v>66</v>
      </c>
      <c r="F7" s="3" t="s">
        <v>126</v>
      </c>
      <c r="G7" s="3" t="s">
        <v>131</v>
      </c>
      <c r="H7" s="3" t="s">
        <v>132</v>
      </c>
      <c r="I7" s="8" t="s">
        <v>122</v>
      </c>
      <c r="J7" s="6" t="s">
        <v>129</v>
      </c>
    </row>
    <row r="8" customFormat="false" ht="26.85" hidden="false" customHeight="false" outlineLevel="0" collapsed="false">
      <c r="A8" s="6" t="s">
        <v>133</v>
      </c>
      <c r="B8" s="6" t="s">
        <v>69</v>
      </c>
      <c r="C8" s="9" t="n">
        <v>1974</v>
      </c>
      <c r="D8" s="8" t="s">
        <v>112</v>
      </c>
      <c r="E8" s="6" t="s">
        <v>71</v>
      </c>
      <c r="F8" s="3" t="s">
        <v>134</v>
      </c>
      <c r="G8" s="3" t="s">
        <v>135</v>
      </c>
      <c r="H8" s="3" t="s">
        <v>32</v>
      </c>
      <c r="I8" s="8" t="s">
        <v>122</v>
      </c>
      <c r="J8" s="6" t="s">
        <v>136</v>
      </c>
    </row>
    <row r="9" customFormat="false" ht="26.85" hidden="false" customHeight="false" outlineLevel="0" collapsed="false">
      <c r="A9" s="6" t="s">
        <v>137</v>
      </c>
      <c r="B9" s="6" t="s">
        <v>138</v>
      </c>
      <c r="C9" s="9" t="n">
        <v>2024</v>
      </c>
      <c r="D9" s="8" t="s">
        <v>139</v>
      </c>
      <c r="E9" s="6" t="s">
        <v>66</v>
      </c>
      <c r="F9" s="3" t="s">
        <v>140</v>
      </c>
      <c r="G9" s="3" t="s">
        <v>141</v>
      </c>
      <c r="H9" s="3" t="s">
        <v>28</v>
      </c>
      <c r="I9" s="8" t="s">
        <v>122</v>
      </c>
      <c r="J9" s="6" t="s">
        <v>142</v>
      </c>
    </row>
    <row r="10" customFormat="false" ht="26.85" hidden="false" customHeight="false" outlineLevel="0" collapsed="false">
      <c r="A10" s="6" t="s">
        <v>143</v>
      </c>
      <c r="B10" s="6" t="s">
        <v>74</v>
      </c>
      <c r="C10" s="9" t="n">
        <v>2009</v>
      </c>
      <c r="D10" s="8" t="s">
        <v>139</v>
      </c>
      <c r="E10" s="6" t="s">
        <v>66</v>
      </c>
      <c r="F10" s="3" t="s">
        <v>144</v>
      </c>
      <c r="G10" s="3" t="s">
        <v>145</v>
      </c>
      <c r="H10" s="3" t="s">
        <v>46</v>
      </c>
      <c r="I10" s="8" t="s">
        <v>122</v>
      </c>
      <c r="J10" s="6" t="s">
        <v>146</v>
      </c>
    </row>
    <row r="11" customFormat="false" ht="26.85" hidden="false" customHeight="false" outlineLevel="0" collapsed="false">
      <c r="A11" s="6" t="s">
        <v>147</v>
      </c>
      <c r="B11" s="6" t="s">
        <v>76</v>
      </c>
      <c r="C11" s="9" t="n">
        <v>1973</v>
      </c>
      <c r="D11" s="8" t="s">
        <v>112</v>
      </c>
      <c r="E11" s="6" t="s">
        <v>60</v>
      </c>
      <c r="F11" s="3" t="s">
        <v>119</v>
      </c>
      <c r="G11" s="3" t="s">
        <v>148</v>
      </c>
      <c r="H11" s="3" t="s">
        <v>121</v>
      </c>
      <c r="I11" s="8" t="s">
        <v>122</v>
      </c>
      <c r="J11" s="6" t="s">
        <v>149</v>
      </c>
    </row>
    <row r="12" customFormat="false" ht="26.85" hidden="false" customHeight="false" outlineLevel="0" collapsed="false">
      <c r="A12" s="6" t="s">
        <v>150</v>
      </c>
      <c r="B12" s="6" t="s">
        <v>151</v>
      </c>
      <c r="C12" s="9" t="n">
        <v>2024</v>
      </c>
      <c r="D12" s="8" t="s">
        <v>139</v>
      </c>
      <c r="E12" s="6" t="s">
        <v>78</v>
      </c>
      <c r="F12" s="3" t="s">
        <v>152</v>
      </c>
      <c r="G12" s="3" t="s">
        <v>153</v>
      </c>
      <c r="H12" s="3" t="s">
        <v>154</v>
      </c>
      <c r="I12" s="8" t="s">
        <v>155</v>
      </c>
      <c r="J12" s="6" t="s">
        <v>156</v>
      </c>
    </row>
    <row r="13" customFormat="false" ht="15" hidden="false" customHeight="false" outlineLevel="0" collapsed="false">
      <c r="A13" s="6" t="s">
        <v>157</v>
      </c>
      <c r="B13" s="6" t="s">
        <v>79</v>
      </c>
      <c r="C13" s="9" t="n">
        <v>1967</v>
      </c>
      <c r="D13" s="8" t="s">
        <v>112</v>
      </c>
      <c r="E13" s="6" t="s">
        <v>71</v>
      </c>
      <c r="F13" s="3" t="s">
        <v>119</v>
      </c>
      <c r="G13" s="3" t="s">
        <v>158</v>
      </c>
      <c r="H13" s="3" t="s">
        <v>159</v>
      </c>
      <c r="I13" s="8" t="s">
        <v>122</v>
      </c>
      <c r="J13" s="6" t="s">
        <v>160</v>
      </c>
    </row>
    <row r="15" customFormat="false" ht="26.85" hidden="false" customHeight="false" outlineLevel="0" collapsed="false">
      <c r="A15" s="7" t="s">
        <v>161</v>
      </c>
      <c r="C15" s="7" t="n">
        <f aca="false">COUNTA(A4:A13)</f>
        <v>10</v>
      </c>
    </row>
    <row r="16" customFormat="false" ht="15" hidden="false" customHeight="false" outlineLevel="0" collapsed="false">
      <c r="A16" s="7" t="s">
        <v>162</v>
      </c>
      <c r="C16" s="7" t="n">
        <f aca="false">COUNTIF(I4:I13,"Live")</f>
        <v>8</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24"/>
    <col collapsed="false" customWidth="true" hidden="false" outlineLevel="0" max="4" min="4" style="0" width="28"/>
    <col collapsed="false" customWidth="true" hidden="false" outlineLevel="0" max="5" min="5" style="0" width="12"/>
    <col collapsed="false" customWidth="true" hidden="false" outlineLevel="0" max="7" min="6" style="0" width="16"/>
    <col collapsed="false" customWidth="true" hidden="false" outlineLevel="0" max="8" min="8" style="0" width="10"/>
  </cols>
  <sheetData>
    <row r="1" customFormat="false" ht="18.55" hidden="false" customHeight="false" outlineLevel="0" collapsed="false">
      <c r="A1" s="1" t="s">
        <v>163</v>
      </c>
      <c r="B1" s="1"/>
      <c r="C1" s="1"/>
      <c r="D1" s="1"/>
      <c r="E1" s="1"/>
      <c r="F1" s="1"/>
      <c r="G1" s="1"/>
      <c r="H1" s="1"/>
    </row>
    <row r="2" customFormat="false" ht="15" hidden="false" customHeight="true" outlineLevel="0" collapsed="false">
      <c r="A2" s="4" t="s">
        <v>164</v>
      </c>
      <c r="B2" s="4"/>
      <c r="C2" s="4"/>
      <c r="D2" s="4"/>
      <c r="E2" s="4"/>
      <c r="F2" s="4"/>
      <c r="G2" s="4"/>
      <c r="H2" s="4"/>
    </row>
    <row r="3" customFormat="false" ht="26.85" hidden="false" customHeight="false" outlineLevel="0" collapsed="false">
      <c r="A3" s="5" t="s">
        <v>165</v>
      </c>
      <c r="B3" s="5" t="s">
        <v>166</v>
      </c>
      <c r="C3" s="5" t="s">
        <v>167</v>
      </c>
      <c r="D3" s="5" t="s">
        <v>168</v>
      </c>
      <c r="E3" s="5" t="s">
        <v>169</v>
      </c>
      <c r="F3" s="5" t="s">
        <v>170</v>
      </c>
      <c r="G3" s="5" t="s">
        <v>171</v>
      </c>
      <c r="H3" s="5" t="s">
        <v>109</v>
      </c>
    </row>
    <row r="4" customFormat="false" ht="15" hidden="false" customHeight="false" outlineLevel="0" collapsed="false">
      <c r="A4" s="8" t="n">
        <v>1</v>
      </c>
      <c r="B4" s="6" t="s">
        <v>172</v>
      </c>
      <c r="C4" s="3" t="s">
        <v>173</v>
      </c>
      <c r="D4" s="3" t="s">
        <v>174</v>
      </c>
      <c r="E4" s="8" t="s">
        <v>175</v>
      </c>
      <c r="F4" s="6" t="s">
        <v>176</v>
      </c>
      <c r="G4" s="6" t="s">
        <v>177</v>
      </c>
      <c r="H4" s="6" t="s">
        <v>178</v>
      </c>
    </row>
    <row r="5" customFormat="false" ht="26.85" hidden="false" customHeight="false" outlineLevel="0" collapsed="false">
      <c r="A5" s="8" t="n">
        <v>2</v>
      </c>
      <c r="B5" s="6" t="s">
        <v>5</v>
      </c>
      <c r="C5" s="3" t="s">
        <v>179</v>
      </c>
      <c r="D5" s="3" t="s">
        <v>180</v>
      </c>
      <c r="E5" s="8" t="s">
        <v>175</v>
      </c>
      <c r="F5" s="6" t="s">
        <v>181</v>
      </c>
      <c r="G5" s="6" t="s">
        <v>182</v>
      </c>
      <c r="H5" s="6" t="s">
        <v>178</v>
      </c>
    </row>
    <row r="6" customFormat="false" ht="15" hidden="false" customHeight="false" outlineLevel="0" collapsed="false">
      <c r="A6" s="8" t="n">
        <v>3</v>
      </c>
      <c r="B6" s="6" t="s">
        <v>183</v>
      </c>
      <c r="C6" s="3" t="s">
        <v>184</v>
      </c>
      <c r="D6" s="3" t="s">
        <v>185</v>
      </c>
      <c r="E6" s="8" t="s">
        <v>175</v>
      </c>
      <c r="F6" s="6" t="s">
        <v>186</v>
      </c>
      <c r="G6" s="6" t="s">
        <v>187</v>
      </c>
      <c r="H6" s="6" t="s">
        <v>178</v>
      </c>
    </row>
    <row r="7" customFormat="false" ht="15" hidden="false" customHeight="false" outlineLevel="0" collapsed="false">
      <c r="A7" s="8" t="n">
        <v>4</v>
      </c>
      <c r="B7" s="6" t="s">
        <v>188</v>
      </c>
      <c r="C7" s="3" t="s">
        <v>184</v>
      </c>
      <c r="D7" s="3" t="s">
        <v>189</v>
      </c>
      <c r="E7" s="8" t="s">
        <v>175</v>
      </c>
      <c r="F7" s="6" t="s">
        <v>190</v>
      </c>
      <c r="G7" s="6" t="s">
        <v>191</v>
      </c>
      <c r="H7" s="6" t="s">
        <v>178</v>
      </c>
    </row>
    <row r="8" customFormat="false" ht="15" hidden="false" customHeight="false" outlineLevel="0" collapsed="false">
      <c r="A8" s="8" t="n">
        <v>5</v>
      </c>
      <c r="B8" s="6" t="s">
        <v>192</v>
      </c>
      <c r="C8" s="3" t="s">
        <v>193</v>
      </c>
      <c r="D8" s="3" t="s">
        <v>194</v>
      </c>
      <c r="E8" s="8" t="s">
        <v>175</v>
      </c>
      <c r="F8" s="6" t="s">
        <v>195</v>
      </c>
      <c r="G8" s="6" t="s">
        <v>196</v>
      </c>
      <c r="H8" s="6" t="s">
        <v>178</v>
      </c>
    </row>
    <row r="9" customFormat="false" ht="15" hidden="false" customHeight="false" outlineLevel="0" collapsed="false">
      <c r="A9" s="8" t="n">
        <v>6</v>
      </c>
      <c r="B9" s="6" t="s">
        <v>197</v>
      </c>
      <c r="C9" s="3" t="s">
        <v>198</v>
      </c>
      <c r="D9" s="3" t="s">
        <v>199</v>
      </c>
      <c r="E9" s="8" t="s">
        <v>175</v>
      </c>
      <c r="F9" s="6" t="s">
        <v>200</v>
      </c>
      <c r="G9" s="6" t="s">
        <v>201</v>
      </c>
      <c r="H9" s="6" t="s">
        <v>178</v>
      </c>
    </row>
    <row r="10" customFormat="false" ht="15" hidden="false" customHeight="false" outlineLevel="0" collapsed="false">
      <c r="A10" s="8" t="n">
        <v>7</v>
      </c>
      <c r="B10" s="6" t="s">
        <v>197</v>
      </c>
      <c r="C10" s="3" t="s">
        <v>202</v>
      </c>
      <c r="D10" s="3" t="s">
        <v>203</v>
      </c>
      <c r="E10" s="8" t="s">
        <v>204</v>
      </c>
      <c r="F10" s="6" t="s">
        <v>205</v>
      </c>
      <c r="G10" s="6" t="s">
        <v>206</v>
      </c>
      <c r="H10" s="6" t="s">
        <v>178</v>
      </c>
    </row>
    <row r="11" customFormat="false" ht="15" hidden="false" customHeight="false" outlineLevel="0" collapsed="false">
      <c r="A11" s="8" t="n">
        <v>8</v>
      </c>
      <c r="B11" s="6" t="s">
        <v>197</v>
      </c>
      <c r="C11" s="3" t="s">
        <v>207</v>
      </c>
      <c r="D11" s="3" t="s">
        <v>208</v>
      </c>
      <c r="E11" s="8" t="s">
        <v>209</v>
      </c>
      <c r="F11" s="6" t="s">
        <v>210</v>
      </c>
      <c r="G11" s="6" t="s">
        <v>211</v>
      </c>
      <c r="H11" s="6" t="s">
        <v>178</v>
      </c>
    </row>
    <row r="12" customFormat="false" ht="15" hidden="false" customHeight="false" outlineLevel="0" collapsed="false">
      <c r="A12" s="8" t="n">
        <v>9</v>
      </c>
      <c r="B12" s="6" t="s">
        <v>212</v>
      </c>
      <c r="C12" s="3" t="s">
        <v>184</v>
      </c>
      <c r="D12" s="3" t="s">
        <v>213</v>
      </c>
      <c r="E12" s="8" t="s">
        <v>175</v>
      </c>
      <c r="F12" s="6" t="s">
        <v>190</v>
      </c>
      <c r="G12" s="6" t="s">
        <v>214</v>
      </c>
      <c r="H12" s="6" t="s">
        <v>178</v>
      </c>
    </row>
    <row r="13" customFormat="false" ht="15" hidden="false" customHeight="false" outlineLevel="0" collapsed="false">
      <c r="A13" s="8" t="n">
        <v>10</v>
      </c>
      <c r="B13" s="6" t="s">
        <v>215</v>
      </c>
      <c r="C13" s="3" t="s">
        <v>216</v>
      </c>
      <c r="D13" s="3" t="s">
        <v>217</v>
      </c>
      <c r="E13" s="8" t="s">
        <v>175</v>
      </c>
      <c r="F13" s="6" t="s">
        <v>195</v>
      </c>
      <c r="G13" s="6" t="s">
        <v>218</v>
      </c>
      <c r="H13" s="6" t="s">
        <v>178</v>
      </c>
    </row>
    <row r="15" customFormat="false" ht="15" hidden="false" customHeight="false" outlineLevel="0" collapsed="false">
      <c r="B15" s="7" t="s">
        <v>219</v>
      </c>
      <c r="E15" s="7" t="n">
        <f aca="false">COUNTIF(H4:H13,"Done")</f>
        <v>10</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3" min="2" style="0" width="9"/>
    <col collapsed="false" customWidth="true" hidden="false" outlineLevel="0" max="5" min="4" style="0" width="12"/>
    <col collapsed="false" customWidth="true" hidden="false" outlineLevel="0" max="7" min="6" style="0" width="11"/>
    <col collapsed="false" customWidth="true" hidden="false" outlineLevel="0" max="8" min="8" style="0" width="12"/>
    <col collapsed="false" customWidth="true" hidden="false" outlineLevel="0" max="9" min="9" style="0" width="9"/>
    <col collapsed="false" customWidth="true" hidden="false" outlineLevel="0" max="11" min="11" style="0" width="30"/>
    <col collapsed="false" customWidth="true" hidden="false" outlineLevel="0" max="12" min="12" style="0" width="14"/>
    <col collapsed="false" customWidth="true" hidden="false" outlineLevel="0" max="14" min="14" style="0" width="6"/>
    <col collapsed="false" customWidth="true" hidden="false" outlineLevel="0" max="15" min="15" style="0" width="12"/>
    <col collapsed="false" customWidth="true" hidden="false" outlineLevel="0" max="16" min="16" style="0" width="10"/>
    <col collapsed="false" customWidth="true" hidden="false" outlineLevel="0" max="18" min="18" style="0" width="10"/>
  </cols>
  <sheetData>
    <row r="1" customFormat="false" ht="18.55" hidden="false" customHeight="false" outlineLevel="0" collapsed="false">
      <c r="A1" s="1" t="s">
        <v>220</v>
      </c>
      <c r="B1" s="1"/>
      <c r="C1" s="1"/>
      <c r="D1" s="1"/>
      <c r="E1" s="1"/>
      <c r="F1" s="1"/>
      <c r="G1" s="1"/>
      <c r="H1" s="1"/>
      <c r="I1" s="1"/>
      <c r="J1" s="1"/>
    </row>
    <row r="2" customFormat="false" ht="22.35" hidden="false" customHeight="true" outlineLevel="0" collapsed="false">
      <c r="A2" s="4" t="s">
        <v>221</v>
      </c>
      <c r="B2" s="4"/>
      <c r="C2" s="4"/>
      <c r="D2" s="4"/>
      <c r="E2" s="4"/>
      <c r="F2" s="4"/>
      <c r="G2" s="4"/>
      <c r="H2" s="4"/>
      <c r="I2" s="4"/>
      <c r="J2" s="4"/>
    </row>
    <row r="3" customFormat="false" ht="26.85" hidden="false" customHeight="true" outlineLevel="0" collapsed="false">
      <c r="A3" s="5" t="s">
        <v>222</v>
      </c>
      <c r="B3" s="5" t="s">
        <v>223</v>
      </c>
      <c r="C3" s="5" t="s">
        <v>224</v>
      </c>
      <c r="D3" s="5" t="s">
        <v>225</v>
      </c>
      <c r="E3" s="5" t="s">
        <v>109</v>
      </c>
      <c r="F3" s="5" t="s">
        <v>226</v>
      </c>
      <c r="G3" s="5" t="s">
        <v>212</v>
      </c>
      <c r="H3" s="5" t="s">
        <v>227</v>
      </c>
      <c r="I3" s="5" t="s">
        <v>228</v>
      </c>
      <c r="K3" s="10" t="s">
        <v>229</v>
      </c>
      <c r="L3" s="10" t="s">
        <v>230</v>
      </c>
      <c r="N3" s="10" t="s">
        <v>231</v>
      </c>
      <c r="O3" s="10"/>
      <c r="P3" s="10"/>
      <c r="R3" s="10" t="s">
        <v>232</v>
      </c>
    </row>
    <row r="4" customFormat="false" ht="15" hidden="false" customHeight="false" outlineLevel="0" collapsed="false">
      <c r="A4" s="11" t="s">
        <v>233</v>
      </c>
      <c r="B4" s="12" t="s">
        <v>234</v>
      </c>
      <c r="C4" s="12" t="s">
        <v>235</v>
      </c>
      <c r="D4" s="12" t="n">
        <v>16</v>
      </c>
      <c r="E4" s="12" t="s">
        <v>236</v>
      </c>
      <c r="F4" s="12" t="s">
        <v>237</v>
      </c>
      <c r="G4" s="12" t="s">
        <v>238</v>
      </c>
      <c r="H4" s="13" t="n">
        <v>62000</v>
      </c>
      <c r="I4" s="14" t="n">
        <v>1</v>
      </c>
      <c r="K4" s="3" t="s">
        <v>239</v>
      </c>
      <c r="L4" s="15" t="n">
        <f aca="false">SUMIFS($I$4:$I$19,$E$4:$E$19,"Employed")</f>
        <v>13.1</v>
      </c>
      <c r="N4" s="16" t="n">
        <v>1</v>
      </c>
      <c r="O4" s="17" t="n">
        <f aca="false">SMALL($R$4:$R$19,1)</f>
        <v>7500</v>
      </c>
      <c r="R4" s="18" t="n">
        <f aca="false">IF(AND(E4="Employed",H4&gt;0),H4,"")</f>
        <v>62000</v>
      </c>
    </row>
    <row r="5" customFormat="false" ht="15" hidden="false" customHeight="false" outlineLevel="0" collapsed="false">
      <c r="A5" s="11" t="s">
        <v>240</v>
      </c>
      <c r="B5" s="12" t="s">
        <v>241</v>
      </c>
      <c r="C5" s="12" t="s">
        <v>235</v>
      </c>
      <c r="D5" s="12" t="n">
        <v>16</v>
      </c>
      <c r="E5" s="12" t="s">
        <v>236</v>
      </c>
      <c r="F5" s="12" t="s">
        <v>237</v>
      </c>
      <c r="G5" s="12" t="s">
        <v>238</v>
      </c>
      <c r="H5" s="13" t="n">
        <v>52000</v>
      </c>
      <c r="I5" s="14" t="n">
        <v>1</v>
      </c>
      <c r="K5" s="3" t="s">
        <v>242</v>
      </c>
      <c r="L5" s="15" t="n">
        <f aca="false">SUMIFS($I$4:$I$19,$E$4:$E$19,"Employed")+SUMIFS($I$4:$I$19,$E$4:$E$19,"Unemployed")</f>
        <v>15.4</v>
      </c>
      <c r="N5" s="9" t="n">
        <v>2</v>
      </c>
      <c r="O5" s="18" t="n">
        <f aca="false">SMALL($R$4:$R$19,2)</f>
        <v>9000</v>
      </c>
      <c r="R5" s="18" t="n">
        <f aca="false">IF(AND(E5="Employed",H5&gt;0),H5,"")</f>
        <v>52000</v>
      </c>
    </row>
    <row r="6" customFormat="false" ht="15" hidden="false" customHeight="false" outlineLevel="0" collapsed="false">
      <c r="A6" s="11" t="s">
        <v>243</v>
      </c>
      <c r="B6" s="12" t="s">
        <v>234</v>
      </c>
      <c r="C6" s="12" t="s">
        <v>244</v>
      </c>
      <c r="D6" s="12" t="n">
        <v>12</v>
      </c>
      <c r="E6" s="12" t="s">
        <v>236</v>
      </c>
      <c r="F6" s="12" t="s">
        <v>245</v>
      </c>
      <c r="G6" s="12" t="s">
        <v>238</v>
      </c>
      <c r="H6" s="13" t="n">
        <v>34000</v>
      </c>
      <c r="I6" s="14" t="n">
        <v>1.1</v>
      </c>
      <c r="K6" s="3" t="s">
        <v>246</v>
      </c>
      <c r="L6" s="15" t="n">
        <f aca="false">SUM($I$4:$I$19)</f>
        <v>16.5</v>
      </c>
      <c r="N6" s="9" t="n">
        <v>3</v>
      </c>
      <c r="O6" s="18" t="n">
        <f aca="false">SMALL($R$4:$R$19,3)</f>
        <v>11000</v>
      </c>
      <c r="R6" s="18" t="n">
        <f aca="false">IF(AND(E6="Employed",H6&gt;0),H6,"")</f>
        <v>34000</v>
      </c>
    </row>
    <row r="7" customFormat="false" ht="15" hidden="false" customHeight="false" outlineLevel="0" collapsed="false">
      <c r="A7" s="11" t="s">
        <v>247</v>
      </c>
      <c r="B7" s="12" t="s">
        <v>241</v>
      </c>
      <c r="C7" s="12" t="s">
        <v>244</v>
      </c>
      <c r="D7" s="12" t="n">
        <v>12</v>
      </c>
      <c r="E7" s="12" t="s">
        <v>236</v>
      </c>
      <c r="F7" s="12" t="s">
        <v>245</v>
      </c>
      <c r="G7" s="12" t="s">
        <v>248</v>
      </c>
      <c r="H7" s="13" t="n">
        <v>22000</v>
      </c>
      <c r="I7" s="14" t="n">
        <v>1.1</v>
      </c>
      <c r="K7" s="3" t="s">
        <v>249</v>
      </c>
      <c r="L7" s="19" t="n">
        <f aca="false">L5/L6</f>
        <v>0.933333333333333</v>
      </c>
      <c r="N7" s="9" t="n">
        <v>4</v>
      </c>
      <c r="O7" s="18" t="n">
        <f aca="false">SMALL($R$4:$R$19,4)</f>
        <v>14000</v>
      </c>
      <c r="R7" s="18" t="n">
        <f aca="false">IF(AND(E7="Employed",H7&gt;0),H7,"")</f>
        <v>22000</v>
      </c>
    </row>
    <row r="8" customFormat="false" ht="15" hidden="false" customHeight="false" outlineLevel="0" collapsed="false">
      <c r="A8" s="11" t="s">
        <v>250</v>
      </c>
      <c r="B8" s="12" t="s">
        <v>234</v>
      </c>
      <c r="C8" s="12" t="s">
        <v>251</v>
      </c>
      <c r="D8" s="12" t="n">
        <v>10</v>
      </c>
      <c r="E8" s="12" t="s">
        <v>236</v>
      </c>
      <c r="F8" s="12" t="s">
        <v>252</v>
      </c>
      <c r="G8" s="12" t="s">
        <v>248</v>
      </c>
      <c r="H8" s="13" t="n">
        <v>14000</v>
      </c>
      <c r="I8" s="14" t="n">
        <v>1.2</v>
      </c>
      <c r="K8" s="3" t="s">
        <v>253</v>
      </c>
      <c r="L8" s="19" t="n">
        <f aca="false">L4/L6</f>
        <v>0.793939393939394</v>
      </c>
      <c r="N8" s="9" t="n">
        <v>5</v>
      </c>
      <c r="O8" s="18" t="n">
        <f aca="false">SMALL($R$4:$R$19,5)</f>
        <v>22000</v>
      </c>
      <c r="R8" s="18" t="n">
        <f aca="false">IF(AND(E8="Employed",H8&gt;0),H8,"")</f>
        <v>14000</v>
      </c>
    </row>
    <row r="9" customFormat="false" ht="15" hidden="false" customHeight="false" outlineLevel="0" collapsed="false">
      <c r="A9" s="11" t="s">
        <v>254</v>
      </c>
      <c r="B9" s="12" t="s">
        <v>241</v>
      </c>
      <c r="C9" s="12" t="s">
        <v>251</v>
      </c>
      <c r="D9" s="12" t="n">
        <v>8</v>
      </c>
      <c r="E9" s="12" t="s">
        <v>236</v>
      </c>
      <c r="F9" s="12" t="s">
        <v>252</v>
      </c>
      <c r="G9" s="12" t="s">
        <v>248</v>
      </c>
      <c r="H9" s="13" t="n">
        <v>9000</v>
      </c>
      <c r="I9" s="14" t="n">
        <v>1.2</v>
      </c>
      <c r="K9" s="3" t="s">
        <v>255</v>
      </c>
      <c r="L9" s="19" t="n">
        <f aca="false">(L5-L4)/L5</f>
        <v>0.149350649350649</v>
      </c>
      <c r="N9" s="9" t="n">
        <v>6</v>
      </c>
      <c r="O9" s="18" t="n">
        <f aca="false">SMALL($R$4:$R$19,6)</f>
        <v>28000</v>
      </c>
      <c r="R9" s="18" t="n">
        <f aca="false">IF(AND(E9="Employed",H9&gt;0),H9,"")</f>
        <v>9000</v>
      </c>
    </row>
    <row r="10" customFormat="false" ht="15" hidden="false" customHeight="false" outlineLevel="0" collapsed="false">
      <c r="A10" s="11" t="s">
        <v>256</v>
      </c>
      <c r="B10" s="12" t="s">
        <v>234</v>
      </c>
      <c r="C10" s="12" t="s">
        <v>235</v>
      </c>
      <c r="D10" s="12" t="n">
        <v>18</v>
      </c>
      <c r="E10" s="12" t="s">
        <v>236</v>
      </c>
      <c r="F10" s="12" t="s">
        <v>237</v>
      </c>
      <c r="G10" s="12" t="s">
        <v>238</v>
      </c>
      <c r="H10" s="13" t="n">
        <v>95000</v>
      </c>
      <c r="I10" s="14" t="n">
        <v>0.9</v>
      </c>
      <c r="K10" s="3" t="s">
        <v>257</v>
      </c>
      <c r="L10" s="20" t="n">
        <f aca="false">AVERAGEIFS($H$4:$H$19,$B$4:$B$19,"Male",$E$4:$E$19,"Employed")</f>
        <v>44000</v>
      </c>
      <c r="N10" s="9" t="n">
        <v>7</v>
      </c>
      <c r="O10" s="18" t="n">
        <f aca="false">SMALL($R$4:$R$19,7)</f>
        <v>34000</v>
      </c>
      <c r="R10" s="18" t="n">
        <f aca="false">IF(AND(E10="Employed",H10&gt;0),H10,"")</f>
        <v>95000</v>
      </c>
    </row>
    <row r="11" customFormat="false" ht="15" hidden="false" customHeight="false" outlineLevel="0" collapsed="false">
      <c r="A11" s="11" t="s">
        <v>258</v>
      </c>
      <c r="B11" s="12" t="s">
        <v>241</v>
      </c>
      <c r="C11" s="12" t="s">
        <v>235</v>
      </c>
      <c r="D11" s="12" t="n">
        <v>14</v>
      </c>
      <c r="E11" s="12" t="s">
        <v>236</v>
      </c>
      <c r="F11" s="12" t="s">
        <v>237</v>
      </c>
      <c r="G11" s="12" t="s">
        <v>248</v>
      </c>
      <c r="H11" s="13" t="n">
        <v>28000</v>
      </c>
      <c r="I11" s="14" t="n">
        <v>1</v>
      </c>
      <c r="K11" s="3" t="s">
        <v>259</v>
      </c>
      <c r="L11" s="20" t="n">
        <f aca="false">AVERAGEIFS($H$4:$H$19,$B$4:$B$19,"Female",$E$4:$E$19,"Employed")</f>
        <v>26583.3333333333</v>
      </c>
      <c r="N11" s="9" t="n">
        <v>8</v>
      </c>
      <c r="O11" s="18" t="n">
        <f aca="false">SMALL($R$4:$R$19,8)</f>
        <v>41000</v>
      </c>
      <c r="R11" s="18" t="n">
        <f aca="false">IF(AND(E11="Employed",H11&gt;0),H11,"")</f>
        <v>28000</v>
      </c>
    </row>
    <row r="12" customFormat="false" ht="15" hidden="false" customHeight="false" outlineLevel="0" collapsed="false">
      <c r="A12" s="11" t="s">
        <v>260</v>
      </c>
      <c r="B12" s="12" t="s">
        <v>234</v>
      </c>
      <c r="C12" s="12" t="s">
        <v>244</v>
      </c>
      <c r="D12" s="12" t="n">
        <v>12</v>
      </c>
      <c r="E12" s="12" t="s">
        <v>261</v>
      </c>
      <c r="F12" s="12" t="s">
        <v>262</v>
      </c>
      <c r="G12" s="12" t="s">
        <v>262</v>
      </c>
      <c r="H12" s="13" t="n">
        <v>0</v>
      </c>
      <c r="I12" s="14" t="n">
        <v>1.1</v>
      </c>
      <c r="K12" s="3" t="s">
        <v>263</v>
      </c>
      <c r="L12" s="19" t="n">
        <f aca="false">(L10-L11)/L10</f>
        <v>0.395833333333333</v>
      </c>
      <c r="N12" s="9" t="n">
        <v>9</v>
      </c>
      <c r="O12" s="18" t="n">
        <f aca="false">SMALL($R$4:$R$19,9)</f>
        <v>48000</v>
      </c>
      <c r="R12" s="18" t="str">
        <f aca="false">IF(AND(E12="Employed",H12&gt;0),H12,"")</f>
        <v/>
      </c>
    </row>
    <row r="13" customFormat="false" ht="15" hidden="false" customHeight="false" outlineLevel="0" collapsed="false">
      <c r="A13" s="11" t="s">
        <v>264</v>
      </c>
      <c r="B13" s="12" t="s">
        <v>241</v>
      </c>
      <c r="C13" s="12" t="s">
        <v>244</v>
      </c>
      <c r="D13" s="12" t="n">
        <v>10</v>
      </c>
      <c r="E13" s="12" t="s">
        <v>265</v>
      </c>
      <c r="F13" s="12" t="s">
        <v>262</v>
      </c>
      <c r="G13" s="12" t="s">
        <v>262</v>
      </c>
      <c r="H13" s="13" t="n">
        <v>0</v>
      </c>
      <c r="I13" s="14" t="n">
        <v>1.1</v>
      </c>
      <c r="K13" s="3" t="s">
        <v>266</v>
      </c>
      <c r="L13" s="19" t="n">
        <f aca="false">COUNTIFS($E$4:$E$19,"Employed",$G$4:$G$19,"Informal")/COUNTIF($E$4:$E$19,"Employed")</f>
        <v>0.5</v>
      </c>
      <c r="N13" s="9" t="n">
        <v>10</v>
      </c>
      <c r="O13" s="18" t="n">
        <f aca="false">SMALL($R$4:$R$19,10)</f>
        <v>52000</v>
      </c>
      <c r="R13" s="18" t="str">
        <f aca="false">IF(AND(E13="Employed",H13&gt;0),H13,"")</f>
        <v/>
      </c>
    </row>
    <row r="14" customFormat="false" ht="15" hidden="false" customHeight="false" outlineLevel="0" collapsed="false">
      <c r="A14" s="11" t="s">
        <v>267</v>
      </c>
      <c r="B14" s="12" t="s">
        <v>234</v>
      </c>
      <c r="C14" s="12" t="s">
        <v>268</v>
      </c>
      <c r="D14" s="12" t="n">
        <v>7</v>
      </c>
      <c r="E14" s="12" t="s">
        <v>236</v>
      </c>
      <c r="F14" s="12" t="s">
        <v>252</v>
      </c>
      <c r="G14" s="12" t="s">
        <v>248</v>
      </c>
      <c r="H14" s="13" t="n">
        <v>11000</v>
      </c>
      <c r="I14" s="14" t="n">
        <v>1.3</v>
      </c>
      <c r="K14" s="3" t="s">
        <v>269</v>
      </c>
      <c r="L14" s="20" t="n">
        <f aca="false">AVERAGEIF($E$4:$E$19,"Employed",$H$4:$H$19)</f>
        <v>35291.6666666667</v>
      </c>
      <c r="N14" s="9" t="n">
        <v>11</v>
      </c>
      <c r="O14" s="18" t="n">
        <f aca="false">SMALL($R$4:$R$19,11)</f>
        <v>62000</v>
      </c>
      <c r="R14" s="18" t="n">
        <f aca="false">IF(AND(E14="Employed",H14&gt;0),H14,"")</f>
        <v>11000</v>
      </c>
    </row>
    <row r="15" customFormat="false" ht="26.85" hidden="false" customHeight="false" outlineLevel="0" collapsed="false">
      <c r="A15" s="11" t="s">
        <v>270</v>
      </c>
      <c r="B15" s="12" t="s">
        <v>241</v>
      </c>
      <c r="C15" s="12" t="s">
        <v>268</v>
      </c>
      <c r="D15" s="12" t="n">
        <v>6</v>
      </c>
      <c r="E15" s="12" t="s">
        <v>236</v>
      </c>
      <c r="F15" s="12" t="s">
        <v>252</v>
      </c>
      <c r="G15" s="12" t="s">
        <v>248</v>
      </c>
      <c r="H15" s="13" t="n">
        <v>7500</v>
      </c>
      <c r="I15" s="14" t="n">
        <v>1.3</v>
      </c>
      <c r="K15" s="3" t="s">
        <v>271</v>
      </c>
      <c r="L15" s="3" t="s">
        <v>272</v>
      </c>
      <c r="N15" s="9" t="n">
        <v>12</v>
      </c>
      <c r="O15" s="18" t="n">
        <f aca="false">SMALL($R$4:$R$19,12)</f>
        <v>95000</v>
      </c>
      <c r="R15" s="18" t="n">
        <f aca="false">IF(AND(E15="Employed",H15&gt;0),H15,"")</f>
        <v>7500</v>
      </c>
    </row>
    <row r="16" customFormat="false" ht="15" hidden="false" customHeight="false" outlineLevel="0" collapsed="false">
      <c r="A16" s="11" t="s">
        <v>273</v>
      </c>
      <c r="B16" s="12" t="s">
        <v>234</v>
      </c>
      <c r="C16" s="12" t="s">
        <v>235</v>
      </c>
      <c r="D16" s="12" t="n">
        <v>15</v>
      </c>
      <c r="E16" s="12" t="s">
        <v>236</v>
      </c>
      <c r="F16" s="12" t="s">
        <v>245</v>
      </c>
      <c r="G16" s="12" t="s">
        <v>238</v>
      </c>
      <c r="H16" s="13" t="n">
        <v>48000</v>
      </c>
      <c r="I16" s="14" t="n">
        <v>1</v>
      </c>
      <c r="N16" s="9" t="n">
        <v>13</v>
      </c>
      <c r="O16" s="18" t="e">
        <f aca="false">SMALL($R$4:$R$19,13)</f>
        <v>#VALUE!</v>
      </c>
      <c r="R16" s="18" t="n">
        <f aca="false">IF(AND(E16="Employed",H16&gt;0),H16,"")</f>
        <v>48000</v>
      </c>
    </row>
    <row r="17" customFormat="false" ht="15" hidden="false" customHeight="true" outlineLevel="0" collapsed="false">
      <c r="A17" s="11" t="s">
        <v>274</v>
      </c>
      <c r="B17" s="12" t="s">
        <v>241</v>
      </c>
      <c r="C17" s="12" t="s">
        <v>235</v>
      </c>
      <c r="D17" s="12" t="n">
        <v>15</v>
      </c>
      <c r="E17" s="12" t="s">
        <v>236</v>
      </c>
      <c r="F17" s="12" t="s">
        <v>245</v>
      </c>
      <c r="G17" s="12" t="s">
        <v>238</v>
      </c>
      <c r="H17" s="13" t="n">
        <v>41000</v>
      </c>
      <c r="I17" s="14" t="n">
        <v>1</v>
      </c>
      <c r="N17" s="7" t="s">
        <v>275</v>
      </c>
      <c r="O17" s="7"/>
      <c r="P17" s="21" t="e">
        <f aca="false">(2*SUMPRODUCT(N4:N16,O4:O16))/(13*SUM(O4:O16))-(13+1)/13</f>
        <v>#VALUE!</v>
      </c>
      <c r="R17" s="18" t="n">
        <f aca="false">IF(AND(E17="Employed",H17&gt;0),H17,"")</f>
        <v>41000</v>
      </c>
    </row>
    <row r="18" customFormat="false" ht="15" hidden="false" customHeight="false" outlineLevel="0" collapsed="false">
      <c r="A18" s="11" t="s">
        <v>276</v>
      </c>
      <c r="B18" s="12" t="s">
        <v>234</v>
      </c>
      <c r="C18" s="12" t="s">
        <v>251</v>
      </c>
      <c r="D18" s="12" t="n">
        <v>11</v>
      </c>
      <c r="E18" s="12" t="s">
        <v>261</v>
      </c>
      <c r="F18" s="12" t="s">
        <v>262</v>
      </c>
      <c r="G18" s="12" t="s">
        <v>262</v>
      </c>
      <c r="H18" s="13" t="n">
        <v>0</v>
      </c>
      <c r="I18" s="14" t="n">
        <v>1.2</v>
      </c>
      <c r="R18" s="18" t="str">
        <f aca="false">IF(AND(E18="Employed",H18&gt;0),H18,"")</f>
        <v/>
      </c>
    </row>
    <row r="19" customFormat="false" ht="22.35" hidden="false" customHeight="true" outlineLevel="0" collapsed="false">
      <c r="A19" s="22" t="s">
        <v>277</v>
      </c>
      <c r="B19" s="22"/>
      <c r="C19" s="22"/>
      <c r="D19" s="22"/>
      <c r="E19" s="22"/>
      <c r="F19" s="22"/>
      <c r="G19" s="22"/>
      <c r="H19" s="22"/>
      <c r="I19" s="22"/>
      <c r="J19" s="22"/>
      <c r="R19" s="18" t="str">
        <f aca="false">IF(AND(E19="Employed",H19&gt;0),H19,"")</f>
        <v/>
      </c>
    </row>
  </sheetData>
  <mergeCells count="5">
    <mergeCell ref="A1:J1"/>
    <mergeCell ref="A2:J2"/>
    <mergeCell ref="N3:P3"/>
    <mergeCell ref="N17:O17"/>
    <mergeCell ref="A19:J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12"/>
    <col collapsed="false" customWidth="true" hidden="false" outlineLevel="0" max="3" min="3" style="0" width="40"/>
  </cols>
  <sheetData>
    <row r="1" customFormat="false" ht="18.55" hidden="false" customHeight="false" outlineLevel="0" collapsed="false">
      <c r="A1" s="1" t="s">
        <v>278</v>
      </c>
      <c r="B1" s="1"/>
      <c r="C1" s="1"/>
    </row>
    <row r="2" customFormat="false" ht="22.35" hidden="false" customHeight="true" outlineLevel="0" collapsed="false">
      <c r="A2" s="4" t="s">
        <v>279</v>
      </c>
      <c r="B2" s="4"/>
      <c r="C2" s="4"/>
    </row>
    <row r="3" customFormat="false" ht="15" hidden="false" customHeight="false" outlineLevel="0" collapsed="false">
      <c r="A3" s="5" t="s">
        <v>280</v>
      </c>
      <c r="B3" s="5" t="s">
        <v>281</v>
      </c>
      <c r="C3" s="5" t="s">
        <v>282</v>
      </c>
    </row>
    <row r="4" customFormat="false" ht="15" hidden="false" customHeight="false" outlineLevel="0" collapsed="false">
      <c r="A4" s="3" t="s">
        <v>283</v>
      </c>
      <c r="B4" s="23" t="n">
        <v>90</v>
      </c>
      <c r="C4" s="3" t="s">
        <v>284</v>
      </c>
    </row>
    <row r="5" customFormat="false" ht="15" hidden="false" customHeight="false" outlineLevel="0" collapsed="false">
      <c r="A5" s="3" t="s">
        <v>285</v>
      </c>
      <c r="B5" s="23" t="n">
        <v>14</v>
      </c>
      <c r="C5" s="3" t="s">
        <v>286</v>
      </c>
    </row>
    <row r="6" customFormat="false" ht="15" hidden="false" customHeight="false" outlineLevel="0" collapsed="false">
      <c r="A6" s="3" t="s">
        <v>287</v>
      </c>
      <c r="B6" s="23" t="n">
        <v>14</v>
      </c>
      <c r="C6" s="3" t="s">
        <v>288</v>
      </c>
    </row>
    <row r="7" customFormat="false" ht="15" hidden="false" customHeight="false" outlineLevel="0" collapsed="false">
      <c r="A7" s="3" t="s">
        <v>289</v>
      </c>
      <c r="B7" s="24" t="n">
        <f aca="false">B4+B5-B6</f>
        <v>90</v>
      </c>
      <c r="C7" s="3" t="s">
        <v>290</v>
      </c>
    </row>
    <row r="8" customFormat="false" ht="15" hidden="false" customHeight="false" outlineLevel="0" collapsed="false">
      <c r="A8" s="3" t="s">
        <v>291</v>
      </c>
      <c r="B8" s="23" t="n">
        <v>66</v>
      </c>
      <c r="C8" s="3" t="s">
        <v>292</v>
      </c>
    </row>
    <row r="9" customFormat="false" ht="15" hidden="false" customHeight="false" outlineLevel="0" collapsed="false">
      <c r="A9" s="3" t="s">
        <v>293</v>
      </c>
      <c r="B9" s="24" t="n">
        <f aca="false">B7-B8</f>
        <v>24</v>
      </c>
      <c r="C9" s="3" t="s">
        <v>294</v>
      </c>
    </row>
    <row r="10" customFormat="false" ht="15" hidden="false" customHeight="false" outlineLevel="0" collapsed="false">
      <c r="A10" s="3" t="s">
        <v>295</v>
      </c>
      <c r="B10" s="23" t="n">
        <v>14</v>
      </c>
      <c r="C10" s="3" t="s">
        <v>296</v>
      </c>
    </row>
    <row r="11" customFormat="false" ht="15" hidden="false" customHeight="false" outlineLevel="0" collapsed="false">
      <c r="A11" s="3" t="s">
        <v>297</v>
      </c>
      <c r="B11" s="24" t="n">
        <f aca="false">B9-B10</f>
        <v>10</v>
      </c>
      <c r="C11" s="3" t="s">
        <v>298</v>
      </c>
    </row>
    <row r="13" customFormat="false" ht="15" hidden="false" customHeight="false" outlineLevel="0" collapsed="false">
      <c r="A13" s="7" t="s">
        <v>299</v>
      </c>
      <c r="B13" s="25" t="n">
        <f aca="false">COUNTA('03_Extraction'!A4:A13)</f>
        <v>10</v>
      </c>
    </row>
    <row r="14" customFormat="false" ht="15" hidden="false" customHeight="false" outlineLevel="0" collapsed="false">
      <c r="A14" s="7" t="s">
        <v>300</v>
      </c>
      <c r="B14" s="7" t="str">
        <f aca="false">IF(B11=B13,"MATCH","CHECK")</f>
        <v>MATCH</v>
      </c>
    </row>
    <row r="16" customFormat="false" ht="15" hidden="false" customHeight="true" outlineLevel="0" collapsed="false">
      <c r="A16" s="2" t="s">
        <v>301</v>
      </c>
      <c r="B16" s="2"/>
      <c r="C16" s="2"/>
    </row>
    <row r="17" customFormat="false" ht="15" hidden="false" customHeight="false" outlineLevel="0" collapsed="false">
      <c r="A17" s="10" t="s">
        <v>302</v>
      </c>
      <c r="B17" s="10" t="s">
        <v>281</v>
      </c>
    </row>
    <row r="18" customFormat="false" ht="15" hidden="false" customHeight="false" outlineLevel="0" collapsed="false">
      <c r="A18" s="3" t="s">
        <v>303</v>
      </c>
      <c r="B18" s="23" t="n">
        <v>5</v>
      </c>
    </row>
    <row r="19" customFormat="false" ht="15" hidden="false" customHeight="false" outlineLevel="0" collapsed="false">
      <c r="A19" s="3" t="s">
        <v>93</v>
      </c>
      <c r="B19" s="23" t="n">
        <v>3</v>
      </c>
    </row>
    <row r="20" customFormat="false" ht="15" hidden="false" customHeight="false" outlineLevel="0" collapsed="false">
      <c r="A20" s="3" t="s">
        <v>98</v>
      </c>
      <c r="B20" s="23" t="n">
        <v>4</v>
      </c>
    </row>
    <row r="21" customFormat="false" ht="15" hidden="false" customHeight="false" outlineLevel="0" collapsed="false">
      <c r="A21" s="3" t="s">
        <v>96</v>
      </c>
      <c r="B21" s="23" t="n">
        <v>2</v>
      </c>
    </row>
    <row r="22" customFormat="false" ht="15" hidden="false" customHeight="false" outlineLevel="0" collapsed="false">
      <c r="A22" s="7" t="s">
        <v>304</v>
      </c>
      <c r="B22" s="24" t="n">
        <f aca="false">SUM(B18:B21)</f>
        <v>14</v>
      </c>
    </row>
  </sheetData>
  <mergeCells count="3">
    <mergeCell ref="A1:C1"/>
    <mergeCell ref="A2:C2"/>
    <mergeCell ref="A16:C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4" min="4" style="0" width="14"/>
    <col collapsed="false" customWidth="true" hidden="false" outlineLevel="0" max="5" min="5" style="0" width="10"/>
  </cols>
  <sheetData>
    <row r="1" customFormat="false" ht="18.55" hidden="false" customHeight="false" outlineLevel="0" collapsed="false">
      <c r="A1" s="1" t="s">
        <v>305</v>
      </c>
      <c r="B1" s="1"/>
      <c r="C1" s="1"/>
      <c r="D1" s="1"/>
      <c r="E1" s="1"/>
      <c r="F1" s="1"/>
    </row>
    <row r="2" customFormat="false" ht="15" hidden="false" customHeight="true" outlineLevel="0" collapsed="false">
      <c r="A2" s="4" t="s">
        <v>306</v>
      </c>
      <c r="B2" s="4"/>
      <c r="C2" s="4"/>
      <c r="D2" s="4"/>
      <c r="E2" s="4"/>
      <c r="F2" s="4"/>
    </row>
    <row r="3" customFormat="false" ht="15" hidden="false" customHeight="true" outlineLevel="0" collapsed="false">
      <c r="A3" s="2" t="s">
        <v>307</v>
      </c>
      <c r="B3" s="2"/>
      <c r="D3" s="2" t="s">
        <v>308</v>
      </c>
      <c r="E3" s="2"/>
    </row>
    <row r="4" customFormat="false" ht="15" hidden="false" customHeight="false" outlineLevel="0" collapsed="false">
      <c r="A4" s="5" t="s">
        <v>309</v>
      </c>
      <c r="B4" s="5" t="s">
        <v>281</v>
      </c>
      <c r="D4" s="26" t="s">
        <v>53</v>
      </c>
      <c r="E4" s="26" t="s">
        <v>281</v>
      </c>
    </row>
    <row r="5" customFormat="false" ht="15" hidden="false" customHeight="false" outlineLevel="0" collapsed="false">
      <c r="A5" s="3" t="s">
        <v>310</v>
      </c>
      <c r="B5" s="25" t="n">
        <f aca="false">COUNTIFS('03_Extraction'!$C$4:$C$13,"&lt;=1975")</f>
        <v>5</v>
      </c>
      <c r="D5" s="3" t="s">
        <v>60</v>
      </c>
      <c r="E5" s="25" t="n">
        <f aca="false">COUNTIF('03_Extraction'!$E$4:$E$13,"Journal")</f>
        <v>3</v>
      </c>
    </row>
    <row r="6" customFormat="false" ht="15" hidden="false" customHeight="false" outlineLevel="0" collapsed="false">
      <c r="A6" s="3" t="s">
        <v>311</v>
      </c>
      <c r="B6" s="25" t="n">
        <f aca="false">COUNTIFS('03_Extraction'!$C$4:$C$13,"&gt;=1976",'03_Extraction'!$C$4:$C$13,"&lt;=2000")</f>
        <v>0</v>
      </c>
      <c r="D6" s="3" t="s">
        <v>66</v>
      </c>
      <c r="E6" s="25" t="n">
        <f aca="false">COUNTIF('03_Extraction'!$E$4:$E$13,"Report")</f>
        <v>4</v>
      </c>
    </row>
    <row r="7" customFormat="false" ht="15" hidden="false" customHeight="false" outlineLevel="0" collapsed="false">
      <c r="A7" s="3" t="s">
        <v>312</v>
      </c>
      <c r="B7" s="25" t="n">
        <f aca="false">COUNTIFS('03_Extraction'!$C$4:$C$13,"&gt;=2001",'03_Extraction'!$C$4:$C$13,"&lt;=2015")</f>
        <v>1</v>
      </c>
      <c r="D7" s="3" t="s">
        <v>71</v>
      </c>
      <c r="E7" s="25" t="n">
        <f aca="false">COUNTIF('03_Extraction'!$E$4:$E$13,"Book")</f>
        <v>2</v>
      </c>
    </row>
    <row r="8" customFormat="false" ht="15" hidden="false" customHeight="false" outlineLevel="0" collapsed="false">
      <c r="A8" s="3" t="s">
        <v>313</v>
      </c>
      <c r="B8" s="25" t="n">
        <f aca="false">COUNTIFS('03_Extraction'!$C$4:$C$13,"&gt;=2016",'03_Extraction'!$C$4:$C$13,"&lt;=2024")</f>
        <v>4</v>
      </c>
      <c r="D8" s="3" t="s">
        <v>78</v>
      </c>
      <c r="E8" s="25" t="n">
        <f aca="false">COUNTIF('03_Extraction'!$E$4:$E$13,"Project")</f>
        <v>1</v>
      </c>
    </row>
    <row r="9" customFormat="false" ht="15" hidden="false" customHeight="false" outlineLevel="0" collapsed="false">
      <c r="A9" s="7" t="s">
        <v>304</v>
      </c>
      <c r="B9" s="24" t="n">
        <f aca="false">SUM(B5:B8)</f>
        <v>10</v>
      </c>
      <c r="D9" s="7" t="s">
        <v>304</v>
      </c>
      <c r="E9" s="24" t="n">
        <f aca="false">SUM(E5:E8)</f>
        <v>10</v>
      </c>
    </row>
    <row r="11" customFormat="false" ht="15" hidden="false" customHeight="true" outlineLevel="0" collapsed="false">
      <c r="A11" s="2" t="s">
        <v>314</v>
      </c>
      <c r="B11" s="2"/>
      <c r="D11" s="2" t="s">
        <v>315</v>
      </c>
      <c r="E11" s="2"/>
    </row>
    <row r="12" customFormat="false" ht="15" hidden="false" customHeight="false" outlineLevel="0" collapsed="false">
      <c r="A12" s="26" t="s">
        <v>105</v>
      </c>
      <c r="B12" s="26" t="s">
        <v>281</v>
      </c>
      <c r="D12" s="26" t="s">
        <v>109</v>
      </c>
      <c r="E12" s="26" t="s">
        <v>281</v>
      </c>
    </row>
    <row r="13" customFormat="false" ht="15" hidden="false" customHeight="false" outlineLevel="0" collapsed="false">
      <c r="A13" s="3" t="s">
        <v>112</v>
      </c>
      <c r="B13" s="25" t="n">
        <f aca="false">COUNTIF('03_Extraction'!$D$4:$D$13,"Global")</f>
        <v>7</v>
      </c>
      <c r="D13" s="3" t="s">
        <v>122</v>
      </c>
      <c r="E13" s="25" t="n">
        <f aca="false">COUNTIF('03_Extraction'!$I$4:$I$13,"Live")</f>
        <v>8</v>
      </c>
    </row>
    <row r="14" customFormat="false" ht="15" hidden="false" customHeight="false" outlineLevel="0" collapsed="false">
      <c r="A14" s="3" t="s">
        <v>139</v>
      </c>
      <c r="B14" s="25" t="n">
        <f aca="false">COUNTIF('03_Extraction'!$D$4:$D$13,"National")</f>
        <v>3</v>
      </c>
      <c r="D14" s="3" t="s">
        <v>116</v>
      </c>
      <c r="E14" s="25" t="n">
        <f aca="false">COUNTIF('03_Extraction'!$I$4:$I$13,"Standard")</f>
        <v>1</v>
      </c>
    </row>
    <row r="15" customFormat="false" ht="15" hidden="false" customHeight="false" outlineLevel="0" collapsed="false">
      <c r="A15" s="7" t="s">
        <v>304</v>
      </c>
      <c r="B15" s="24" t="n">
        <f aca="false">SUM(B13:B14)</f>
        <v>10</v>
      </c>
      <c r="D15" s="3" t="s">
        <v>155</v>
      </c>
      <c r="E15" s="25" t="n">
        <f aca="false">COUNTIF('03_Extraction'!$I$4:$I$13,"Own")</f>
        <v>1</v>
      </c>
    </row>
    <row r="16" customFormat="false" ht="15" hidden="false" customHeight="false" outlineLevel="0" collapsed="false">
      <c r="D16" s="7" t="s">
        <v>304</v>
      </c>
      <c r="E16" s="24" t="n">
        <f aca="false">SUM(E13:E15)</f>
        <v>10</v>
      </c>
    </row>
    <row r="18" customFormat="false" ht="22.35" hidden="false" customHeight="true" outlineLevel="0" collapsed="false">
      <c r="A18" s="4" t="s">
        <v>316</v>
      </c>
      <c r="B18" s="4"/>
      <c r="C18" s="4"/>
      <c r="D18" s="4"/>
      <c r="E18" s="4"/>
      <c r="F18" s="4"/>
    </row>
  </sheetData>
  <mergeCells count="7">
    <mergeCell ref="A1:F1"/>
    <mergeCell ref="A2:F2"/>
    <mergeCell ref="A3:B3"/>
    <mergeCell ref="D3:E3"/>
    <mergeCell ref="A11:B11"/>
    <mergeCell ref="D11:E11"/>
    <mergeCell ref="A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6"/>
    <col collapsed="false" customWidth="true" hidden="false" outlineLevel="0" max="3" min="3" style="0" width="30"/>
    <col collapsed="false" customWidth="true" hidden="false" outlineLevel="0" max="4" min="4" style="0" width="12"/>
  </cols>
  <sheetData>
    <row r="1" customFormat="false" ht="18.55" hidden="false" customHeight="false" outlineLevel="0" collapsed="false">
      <c r="A1" s="1" t="s">
        <v>317</v>
      </c>
      <c r="B1" s="1"/>
      <c r="C1" s="1"/>
      <c r="D1" s="1"/>
    </row>
    <row r="2" customFormat="false" ht="22.35" hidden="false" customHeight="true" outlineLevel="0" collapsed="false">
      <c r="A2" s="4" t="s">
        <v>318</v>
      </c>
      <c r="B2" s="4"/>
      <c r="C2" s="4"/>
      <c r="D2" s="4"/>
    </row>
    <row r="3" customFormat="false" ht="15" hidden="false" customHeight="false" outlineLevel="0" collapsed="false">
      <c r="A3" s="10" t="s">
        <v>319</v>
      </c>
      <c r="C3" s="10" t="s">
        <v>320</v>
      </c>
      <c r="D3" s="10" t="s">
        <v>321</v>
      </c>
    </row>
    <row r="4" customFormat="false" ht="15" hidden="false" customHeight="false" outlineLevel="0" collapsed="false">
      <c r="A4" s="11" t="s">
        <v>322</v>
      </c>
      <c r="C4" s="3" t="s">
        <v>323</v>
      </c>
      <c r="D4" s="23" t="n">
        <f aca="false">COUNTIF($A$4:$A$13,"*wage*")</f>
        <v>3</v>
      </c>
    </row>
    <row r="5" customFormat="false" ht="15" hidden="false" customHeight="false" outlineLevel="0" collapsed="false">
      <c r="A5" s="11" t="s">
        <v>324</v>
      </c>
      <c r="C5" s="3" t="s">
        <v>325</v>
      </c>
      <c r="D5" s="23" t="n">
        <f aca="false">COUNTIF($A$4:$A$13,"*inequality*")</f>
        <v>2</v>
      </c>
    </row>
    <row r="6" customFormat="false" ht="15" hidden="false" customHeight="false" outlineLevel="0" collapsed="false">
      <c r="A6" s="11" t="s">
        <v>326</v>
      </c>
      <c r="C6" s="3" t="s">
        <v>327</v>
      </c>
      <c r="D6" s="23" t="n">
        <f aca="false">COUNTIF($A$4:$A$13,"*earnings*")</f>
        <v>2</v>
      </c>
    </row>
    <row r="7" customFormat="false" ht="15" hidden="false" customHeight="false" outlineLevel="0" collapsed="false">
      <c r="A7" s="11" t="s">
        <v>328</v>
      </c>
      <c r="C7" s="3" t="s">
        <v>329</v>
      </c>
      <c r="D7" s="23" t="n">
        <f aca="false">COUNTIF($A$4:$A$13,"*labour*")</f>
        <v>1</v>
      </c>
    </row>
    <row r="8" customFormat="false" ht="15" hidden="false" customHeight="false" outlineLevel="0" collapsed="false">
      <c r="A8" s="11" t="s">
        <v>330</v>
      </c>
      <c r="C8" s="3" t="s">
        <v>331</v>
      </c>
      <c r="D8" s="23" t="n">
        <f aca="false">COUNTIF($A$4:$A$13,"*informal*")</f>
        <v>2</v>
      </c>
    </row>
    <row r="9" customFormat="false" ht="15" hidden="false" customHeight="false" outlineLevel="0" collapsed="false">
      <c r="A9" s="11" t="s">
        <v>332</v>
      </c>
      <c r="C9" s="3" t="s">
        <v>333</v>
      </c>
      <c r="D9" s="23" t="n">
        <f aca="false">COUNTIF($A$4:$A$13,"*gender*")</f>
        <v>1</v>
      </c>
    </row>
    <row r="10" customFormat="false" ht="15" hidden="false" customHeight="false" outlineLevel="0" collapsed="false">
      <c r="A10" s="11" t="s">
        <v>334</v>
      </c>
      <c r="C10" s="3" t="s">
        <v>335</v>
      </c>
      <c r="D10" s="23" t="n">
        <f aca="false">COUNTIF($A$4:$A$13,"*india*")</f>
        <v>2</v>
      </c>
    </row>
    <row r="11" customFormat="false" ht="15" hidden="false" customHeight="false" outlineLevel="0" collapsed="false">
      <c r="A11" s="11" t="s">
        <v>336</v>
      </c>
      <c r="C11" s="3" t="s">
        <v>337</v>
      </c>
      <c r="D11" s="23" t="n">
        <f aca="false">COUNTIF($A$4:$A$13,"*employment*")</f>
        <v>1</v>
      </c>
    </row>
    <row r="12" customFormat="false" ht="15" hidden="false" customHeight="false" outlineLevel="0" collapsed="false">
      <c r="A12" s="11" t="s">
        <v>338</v>
      </c>
      <c r="C12" s="3" t="s">
        <v>339</v>
      </c>
      <c r="D12" s="23" t="n">
        <f aca="false">COUNTIF($A$4:$A$13,"*economy*")</f>
        <v>2</v>
      </c>
    </row>
    <row r="13" customFormat="false" ht="15" hidden="false" customHeight="false" outlineLevel="0" collapsed="false">
      <c r="A13" s="11" t="s">
        <v>340</v>
      </c>
      <c r="C13" s="3" t="s">
        <v>341</v>
      </c>
      <c r="D13" s="23" t="n">
        <f aca="false">COUNTIF($A$4:$A$13,"*survey*")</f>
        <v>1</v>
      </c>
    </row>
    <row r="15" customFormat="false" ht="15" hidden="false" customHeight="true" outlineLevel="0" collapsed="false">
      <c r="A15" s="4" t="s">
        <v>342</v>
      </c>
      <c r="B15" s="4"/>
      <c r="C15" s="4"/>
      <c r="D15" s="4"/>
    </row>
  </sheetData>
  <mergeCells count="3">
    <mergeCell ref="A1:D1"/>
    <mergeCell ref="A2:D2"/>
    <mergeCell ref="A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42"/>
    <col collapsed="false" customWidth="true" hidden="false" outlineLevel="0" max="3" min="3" style="0" width="16"/>
    <col collapsed="false" customWidth="true" hidden="false" outlineLevel="0" max="4" min="4" style="0" width="44"/>
  </cols>
  <sheetData>
    <row r="1" customFormat="false" ht="18.55" hidden="false" customHeight="false" outlineLevel="0" collapsed="false">
      <c r="A1" s="1" t="s">
        <v>343</v>
      </c>
      <c r="B1" s="1"/>
      <c r="C1" s="1"/>
      <c r="D1" s="1"/>
    </row>
    <row r="2" customFormat="false" ht="22.35" hidden="false" customHeight="true" outlineLevel="0" collapsed="false">
      <c r="A2" s="4" t="s">
        <v>344</v>
      </c>
      <c r="B2" s="4"/>
      <c r="C2" s="4"/>
      <c r="D2" s="4"/>
    </row>
    <row r="3" customFormat="false" ht="15" hidden="false" customHeight="true" outlineLevel="0" collapsed="false">
      <c r="A3" s="2" t="s">
        <v>345</v>
      </c>
      <c r="B3" s="2"/>
      <c r="C3" s="2"/>
    </row>
    <row r="4" customFormat="false" ht="15" hidden="false" customHeight="false" outlineLevel="0" collapsed="false">
      <c r="A4" s="5" t="s">
        <v>346</v>
      </c>
      <c r="B4" s="5" t="s">
        <v>223</v>
      </c>
      <c r="C4" s="5" t="s">
        <v>197</v>
      </c>
    </row>
    <row r="5" customFormat="false" ht="15" hidden="false" customHeight="false" outlineLevel="0" collapsed="false">
      <c r="A5" s="27" t="s">
        <v>347</v>
      </c>
      <c r="B5" s="27" t="s">
        <v>234</v>
      </c>
      <c r="C5" s="28" t="n">
        <v>40000</v>
      </c>
    </row>
    <row r="6" customFormat="false" ht="15" hidden="false" customHeight="false" outlineLevel="0" collapsed="false">
      <c r="A6" s="27" t="s">
        <v>348</v>
      </c>
      <c r="B6" s="27" t="s">
        <v>241</v>
      </c>
      <c r="C6" s="28" t="n">
        <v>30000</v>
      </c>
    </row>
    <row r="7" customFormat="false" ht="15" hidden="false" customHeight="false" outlineLevel="0" collapsed="false">
      <c r="A7" s="27" t="s">
        <v>349</v>
      </c>
      <c r="B7" s="27" t="s">
        <v>234</v>
      </c>
      <c r="C7" s="28" t="n">
        <v>55000</v>
      </c>
    </row>
    <row r="8" customFormat="false" ht="15" hidden="false" customHeight="false" outlineLevel="0" collapsed="false">
      <c r="A8" s="27" t="s">
        <v>350</v>
      </c>
      <c r="B8" s="27" t="s">
        <v>241</v>
      </c>
      <c r="C8" s="28" t="n">
        <v>26000</v>
      </c>
    </row>
    <row r="9" customFormat="false" ht="15" hidden="false" customHeight="false" outlineLevel="0" collapsed="false">
      <c r="A9" s="27" t="s">
        <v>351</v>
      </c>
      <c r="B9" s="27" t="s">
        <v>234</v>
      </c>
      <c r="C9" s="28" t="n">
        <v>48000</v>
      </c>
    </row>
    <row r="12" customFormat="false" ht="15" hidden="false" customHeight="true" outlineLevel="0" collapsed="false">
      <c r="A12" s="2" t="s">
        <v>352</v>
      </c>
      <c r="B12" s="2"/>
      <c r="C12" s="2"/>
      <c r="D12" s="2"/>
    </row>
    <row r="13" customFormat="false" ht="15" hidden="false" customHeight="false" outlineLevel="0" collapsed="false">
      <c r="A13" s="5" t="s">
        <v>353</v>
      </c>
      <c r="B13" s="5" t="s">
        <v>354</v>
      </c>
      <c r="C13" s="5" t="s">
        <v>355</v>
      </c>
      <c r="D13" s="5" t="s">
        <v>356</v>
      </c>
    </row>
    <row r="14" customFormat="false" ht="26.85" hidden="false" customHeight="false" outlineLevel="0" collapsed="false">
      <c r="A14" s="7" t="s">
        <v>357</v>
      </c>
      <c r="B14" s="6" t="s">
        <v>358</v>
      </c>
      <c r="C14" s="3" t="str">
        <f aca="false">IF(C5&gt;40000,"High","Low")</f>
        <v>Low</v>
      </c>
      <c r="D14" s="3" t="s">
        <v>359</v>
      </c>
    </row>
    <row r="15" customFormat="false" ht="15" hidden="false" customHeight="false" outlineLevel="0" collapsed="false">
      <c r="A15" s="7" t="s">
        <v>360</v>
      </c>
      <c r="B15" s="6" t="s">
        <v>361</v>
      </c>
      <c r="C15" s="3" t="n">
        <f aca="false">COUNTIF(B5:B9,"Female")</f>
        <v>2</v>
      </c>
      <c r="D15" s="3" t="s">
        <v>362</v>
      </c>
    </row>
    <row r="16" customFormat="false" ht="15" hidden="false" customHeight="false" outlineLevel="0" collapsed="false">
      <c r="A16" s="7" t="s">
        <v>363</v>
      </c>
      <c r="B16" s="6" t="s">
        <v>364</v>
      </c>
      <c r="C16" s="3" t="n">
        <f aca="false">COUNTIFS(B5:B9,"Male",C5:C9,"&gt;45000")</f>
        <v>2</v>
      </c>
      <c r="D16" s="3" t="s">
        <v>365</v>
      </c>
    </row>
    <row r="17" customFormat="false" ht="26.85" hidden="false" customHeight="false" outlineLevel="0" collapsed="false">
      <c r="A17" s="7" t="s">
        <v>366</v>
      </c>
      <c r="B17" s="6" t="s">
        <v>367</v>
      </c>
      <c r="C17" s="3" t="n">
        <f aca="false">SUMIF(B5:B9,"Male",C5:C9)</f>
        <v>143000</v>
      </c>
      <c r="D17" s="3" t="s">
        <v>368</v>
      </c>
    </row>
    <row r="18" customFormat="false" ht="15" hidden="false" customHeight="false" outlineLevel="0" collapsed="false">
      <c r="A18" s="7" t="s">
        <v>369</v>
      </c>
      <c r="B18" s="6" t="s">
        <v>370</v>
      </c>
      <c r="C18" s="3" t="n">
        <f aca="false">AVERAGEIFS(C5:C9,B5:B9,"Female")</f>
        <v>28000</v>
      </c>
      <c r="D18" s="3" t="s">
        <v>371</v>
      </c>
    </row>
    <row r="19" customFormat="false" ht="15" hidden="false" customHeight="false" outlineLevel="0" collapsed="false">
      <c r="A19" s="7" t="s">
        <v>372</v>
      </c>
      <c r="B19" s="6" t="s">
        <v>373</v>
      </c>
      <c r="C19" s="3" t="n">
        <f aca="false">MEDIAN(C5:C9)</f>
        <v>40000</v>
      </c>
      <c r="D19" s="3" t="s">
        <v>374</v>
      </c>
    </row>
    <row r="20" customFormat="false" ht="26.85" hidden="false" customHeight="false" outlineLevel="0" collapsed="false">
      <c r="A20" s="7" t="s">
        <v>375</v>
      </c>
      <c r="B20" s="6" t="s">
        <v>376</v>
      </c>
      <c r="C20" s="3" t="n">
        <f aca="false">SLOPE(C5:C9,ROW(C5:C9))</f>
        <v>1200</v>
      </c>
      <c r="D20" s="3" t="s">
        <v>377</v>
      </c>
    </row>
    <row r="21" customFormat="false" ht="26.85" hidden="false" customHeight="false" outlineLevel="0" collapsed="false">
      <c r="A21" s="7" t="s">
        <v>378</v>
      </c>
      <c r="B21" s="6" t="s">
        <v>379</v>
      </c>
      <c r="C21" s="3" t="str">
        <f aca="false">INDEX(A5:A9,MATCH(MAX(C5:C9),C5:C9,0))</f>
        <v>M03</v>
      </c>
      <c r="D21" s="3" t="s">
        <v>380</v>
      </c>
    </row>
    <row r="22" customFormat="false" ht="26.85" hidden="false" customHeight="false" outlineLevel="0" collapsed="false">
      <c r="A22" s="7" t="s">
        <v>381</v>
      </c>
      <c r="B22" s="6" t="s">
        <v>382</v>
      </c>
      <c r="C22" s="3" t="str">
        <f aca="false">A5&amp;" | "&amp;B5</f>
        <v>M01 | Male</v>
      </c>
      <c r="D22" s="3" t="s">
        <v>383</v>
      </c>
    </row>
    <row r="23" customFormat="false" ht="26.85" hidden="false" customHeight="false" outlineLevel="0" collapsed="false">
      <c r="A23" s="7" t="s">
        <v>384</v>
      </c>
      <c r="B23" s="6" t="s">
        <v>385</v>
      </c>
      <c r="C23" s="20" t="n">
        <f aca="false">INDEX(C5:C9,MATCH("M03",A5:A9,0))</f>
        <v>55000</v>
      </c>
      <c r="D23" s="3" t="s">
        <v>386</v>
      </c>
    </row>
    <row r="24" customFormat="false" ht="26.85" hidden="false" customHeight="false" outlineLevel="0" collapsed="false">
      <c r="A24" s="7" t="s">
        <v>387</v>
      </c>
      <c r="B24" s="6" t="s">
        <v>388</v>
      </c>
      <c r="C24" s="3" t="n">
        <f aca="false">SUMPRODUCT(1/COUNTIF(B5:B9,B5:B9))</f>
        <v>2</v>
      </c>
      <c r="D24" s="3" t="s">
        <v>389</v>
      </c>
    </row>
    <row r="25" customFormat="false" ht="26.85" hidden="false" customHeight="false" outlineLevel="0" collapsed="false">
      <c r="A25" s="7" t="s">
        <v>390</v>
      </c>
      <c r="B25" s="6" t="s">
        <v>391</v>
      </c>
      <c r="C25" s="3" t="n">
        <f aca="false">COUNTIF(B5:B9,"Female")</f>
        <v>2</v>
      </c>
      <c r="D25" s="3" t="s">
        <v>392</v>
      </c>
    </row>
    <row r="26" customFormat="false" ht="26.85" hidden="false" customHeight="false" outlineLevel="0" collapsed="false">
      <c r="A26" s="7" t="s">
        <v>393</v>
      </c>
      <c r="B26" s="6" t="s">
        <v>394</v>
      </c>
      <c r="C26" s="3" t="n">
        <f aca="false">(40000-30000)/40000</f>
        <v>0.25</v>
      </c>
      <c r="D26" s="3" t="s">
        <v>395</v>
      </c>
    </row>
    <row r="27" customFormat="false" ht="15" hidden="false" customHeight="false" outlineLevel="0" collapsed="false">
      <c r="A27" s="7" t="s">
        <v>132</v>
      </c>
      <c r="B27" s="6" t="s">
        <v>396</v>
      </c>
      <c r="C27" s="3" t="n">
        <f aca="false">(AVERAGEIFS(C5:C9,B5:B9,"Male")-AVERAGEIFS(C5:C9,B5:B9,"Female"))/AVERAGEIFS(C5:C9,B5:B9,"Male")</f>
        <v>0.412587412587413</v>
      </c>
      <c r="D27" s="3" t="s">
        <v>397</v>
      </c>
    </row>
    <row r="28" customFormat="false" ht="15" hidden="false" customHeight="false" outlineLevel="0" collapsed="false">
      <c r="A28" s="7" t="s">
        <v>398</v>
      </c>
      <c r="B28" s="6" t="s">
        <v>399</v>
      </c>
      <c r="C28" s="3" t="n">
        <f aca="false">2/(8+2)</f>
        <v>0.2</v>
      </c>
      <c r="D28" s="3" t="s">
        <v>400</v>
      </c>
    </row>
    <row r="29" customFormat="false" ht="26.85" hidden="false" customHeight="false" outlineLevel="0" collapsed="false">
      <c r="A29" s="7" t="s">
        <v>401</v>
      </c>
      <c r="B29" s="6" t="s">
        <v>402</v>
      </c>
      <c r="C29" s="3" t="n">
        <f aca="false">AVERAGEIFS(C5:C9,B5:B9,"Male")</f>
        <v>47666.6666666667</v>
      </c>
      <c r="D29" s="3" t="s">
        <v>403</v>
      </c>
    </row>
  </sheetData>
  <mergeCells count="4">
    <mergeCell ref="A1:D1"/>
    <mergeCell ref="A2:D2"/>
    <mergeCell ref="A3:C3"/>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60"/>
    <col collapsed="false" customWidth="true" hidden="false" outlineLevel="0" max="5" min="3" style="0" width="9"/>
    <col collapsed="false" customWidth="true" hidden="false" outlineLevel="0" max="6" min="6" style="0" width="22"/>
  </cols>
  <sheetData>
    <row r="1" customFormat="false" ht="18.55" hidden="false" customHeight="false" outlineLevel="0" collapsed="false">
      <c r="A1" s="1" t="s">
        <v>404</v>
      </c>
      <c r="B1" s="1"/>
      <c r="C1" s="1"/>
      <c r="D1" s="1"/>
      <c r="E1" s="1"/>
      <c r="F1" s="1"/>
    </row>
    <row r="2" customFormat="false" ht="22.35" hidden="false" customHeight="true" outlineLevel="0" collapsed="false">
      <c r="A2" s="4" t="s">
        <v>405</v>
      </c>
      <c r="B2" s="4"/>
      <c r="C2" s="4"/>
      <c r="D2" s="4"/>
      <c r="E2" s="4"/>
      <c r="F2" s="4"/>
    </row>
    <row r="3" customFormat="false" ht="15" hidden="false" customHeight="false" outlineLevel="0" collapsed="false">
      <c r="A3" s="5" t="s">
        <v>103</v>
      </c>
      <c r="B3" s="5" t="s">
        <v>406</v>
      </c>
      <c r="C3" s="5" t="s">
        <v>53</v>
      </c>
      <c r="D3" s="5" t="s">
        <v>105</v>
      </c>
      <c r="E3" s="5" t="s">
        <v>109</v>
      </c>
      <c r="F3" s="5" t="s">
        <v>110</v>
      </c>
    </row>
    <row r="4" customFormat="false" ht="26.85" hidden="false" customHeight="false" outlineLevel="0" collapsed="false">
      <c r="A4" s="6" t="s">
        <v>111</v>
      </c>
      <c r="B4" s="3" t="s">
        <v>407</v>
      </c>
      <c r="C4" s="8" t="s">
        <v>60</v>
      </c>
      <c r="D4" s="8" t="s">
        <v>112</v>
      </c>
      <c r="E4" s="8" t="s">
        <v>116</v>
      </c>
      <c r="F4" s="6" t="s">
        <v>117</v>
      </c>
    </row>
    <row r="5" customFormat="false" ht="39.55" hidden="false" customHeight="false" outlineLevel="0" collapsed="false">
      <c r="A5" s="6" t="s">
        <v>118</v>
      </c>
      <c r="B5" s="3" t="s">
        <v>408</v>
      </c>
      <c r="C5" s="8" t="s">
        <v>60</v>
      </c>
      <c r="D5" s="8" t="s">
        <v>112</v>
      </c>
      <c r="E5" s="8" t="s">
        <v>122</v>
      </c>
      <c r="F5" s="6" t="s">
        <v>123</v>
      </c>
    </row>
    <row r="6" customFormat="false" ht="26.85" hidden="false" customHeight="false" outlineLevel="0" collapsed="false">
      <c r="A6" s="6" t="s">
        <v>124</v>
      </c>
      <c r="B6" s="3" t="s">
        <v>409</v>
      </c>
      <c r="C6" s="8" t="s">
        <v>66</v>
      </c>
      <c r="D6" s="8" t="s">
        <v>112</v>
      </c>
      <c r="E6" s="8" t="s">
        <v>122</v>
      </c>
      <c r="F6" s="6" t="s">
        <v>129</v>
      </c>
    </row>
    <row r="7" customFormat="false" ht="26.85" hidden="false" customHeight="false" outlineLevel="0" collapsed="false">
      <c r="A7" s="6" t="s">
        <v>130</v>
      </c>
      <c r="B7" s="3" t="s">
        <v>410</v>
      </c>
      <c r="C7" s="8" t="s">
        <v>66</v>
      </c>
      <c r="D7" s="8" t="s">
        <v>112</v>
      </c>
      <c r="E7" s="8" t="s">
        <v>122</v>
      </c>
      <c r="F7" s="6" t="s">
        <v>129</v>
      </c>
    </row>
    <row r="8" customFormat="false" ht="26.85" hidden="false" customHeight="false" outlineLevel="0" collapsed="false">
      <c r="A8" s="6" t="s">
        <v>133</v>
      </c>
      <c r="B8" s="3" t="s">
        <v>411</v>
      </c>
      <c r="C8" s="8" t="s">
        <v>71</v>
      </c>
      <c r="D8" s="8" t="s">
        <v>112</v>
      </c>
      <c r="E8" s="8" t="s">
        <v>122</v>
      </c>
      <c r="F8" s="6" t="s">
        <v>136</v>
      </c>
    </row>
    <row r="9" customFormat="false" ht="39.55" hidden="false" customHeight="false" outlineLevel="0" collapsed="false">
      <c r="A9" s="6" t="s">
        <v>137</v>
      </c>
      <c r="B9" s="3" t="s">
        <v>412</v>
      </c>
      <c r="C9" s="8" t="s">
        <v>66</v>
      </c>
      <c r="D9" s="8" t="s">
        <v>139</v>
      </c>
      <c r="E9" s="8" t="s">
        <v>122</v>
      </c>
      <c r="F9" s="6" t="s">
        <v>142</v>
      </c>
    </row>
    <row r="10" customFormat="false" ht="39.55" hidden="false" customHeight="false" outlineLevel="0" collapsed="false">
      <c r="A10" s="6" t="s">
        <v>143</v>
      </c>
      <c r="B10" s="3" t="s">
        <v>413</v>
      </c>
      <c r="C10" s="8" t="s">
        <v>66</v>
      </c>
      <c r="D10" s="8" t="s">
        <v>139</v>
      </c>
      <c r="E10" s="8" t="s">
        <v>122</v>
      </c>
      <c r="F10" s="6" t="s">
        <v>146</v>
      </c>
    </row>
    <row r="11" customFormat="false" ht="26.85" hidden="false" customHeight="false" outlineLevel="0" collapsed="false">
      <c r="A11" s="6" t="s">
        <v>147</v>
      </c>
      <c r="B11" s="3" t="s">
        <v>414</v>
      </c>
      <c r="C11" s="8" t="s">
        <v>60</v>
      </c>
      <c r="D11" s="8" t="s">
        <v>112</v>
      </c>
      <c r="E11" s="8" t="s">
        <v>122</v>
      </c>
      <c r="F11" s="6" t="s">
        <v>149</v>
      </c>
    </row>
    <row r="12" customFormat="false" ht="39.55" hidden="false" customHeight="false" outlineLevel="0" collapsed="false">
      <c r="A12" s="6" t="s">
        <v>150</v>
      </c>
      <c r="B12" s="3" t="s">
        <v>415</v>
      </c>
      <c r="C12" s="8" t="s">
        <v>78</v>
      </c>
      <c r="D12" s="8" t="s">
        <v>139</v>
      </c>
      <c r="E12" s="8" t="s">
        <v>155</v>
      </c>
      <c r="F12" s="6" t="s">
        <v>156</v>
      </c>
    </row>
    <row r="13" customFormat="false" ht="26.85" hidden="false" customHeight="false" outlineLevel="0" collapsed="false">
      <c r="A13" s="6" t="s">
        <v>157</v>
      </c>
      <c r="B13" s="3" t="s">
        <v>416</v>
      </c>
      <c r="C13" s="8" t="s">
        <v>71</v>
      </c>
      <c r="D13" s="8" t="s">
        <v>112</v>
      </c>
      <c r="E13" s="8" t="s">
        <v>122</v>
      </c>
      <c r="F13" s="6" t="s">
        <v>160</v>
      </c>
    </row>
    <row r="15" customFormat="false" ht="26.85" hidden="false" customHeight="false" outlineLevel="0" collapsed="false">
      <c r="A15" s="7" t="s">
        <v>417</v>
      </c>
      <c r="C15" s="24" t="n">
        <f aca="false">COUNTA(A4:A13)</f>
        <v>10</v>
      </c>
    </row>
    <row r="16" customFormat="false" ht="15" hidden="false" customHeight="false" outlineLevel="0" collapsed="false">
      <c r="A16" s="7" t="s">
        <v>162</v>
      </c>
      <c r="C16" s="24" t="n">
        <f aca="false">COUNTIF(E4:E13,"Live")</f>
        <v>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46"/>
    <col collapsed="false" customWidth="true" hidden="false" outlineLevel="0" max="3" min="3" style="0" width="16"/>
  </cols>
  <sheetData>
    <row r="1" customFormat="false" ht="18.55" hidden="false" customHeight="false" outlineLevel="0" collapsed="false">
      <c r="A1" s="1" t="s">
        <v>418</v>
      </c>
      <c r="B1" s="1"/>
      <c r="C1" s="1"/>
      <c r="D1" s="1"/>
    </row>
    <row r="2" customFormat="false" ht="15" hidden="false" customHeight="true" outlineLevel="0" collapsed="false">
      <c r="A2" s="4" t="s">
        <v>419</v>
      </c>
      <c r="B2" s="4"/>
      <c r="C2" s="4"/>
      <c r="D2" s="4"/>
    </row>
    <row r="4" customFormat="false" ht="15" hidden="false" customHeight="false" outlineLevel="0" collapsed="false">
      <c r="A4" s="2" t="s">
        <v>78</v>
      </c>
      <c r="B4" s="3" t="s">
        <v>420</v>
      </c>
    </row>
    <row r="5" customFormat="false" ht="26.85" hidden="false" customHeight="false" outlineLevel="0" collapsed="false">
      <c r="A5" s="2" t="s">
        <v>421</v>
      </c>
      <c r="B5" s="3" t="s">
        <v>422</v>
      </c>
    </row>
    <row r="6" customFormat="false" ht="15" hidden="false" customHeight="false" outlineLevel="0" collapsed="false">
      <c r="A6" s="2" t="s">
        <v>28</v>
      </c>
      <c r="B6" s="3" t="s">
        <v>423</v>
      </c>
    </row>
    <row r="9" customFormat="false" ht="15" hidden="false" customHeight="true" outlineLevel="0" collapsed="false">
      <c r="A9" s="10" t="s">
        <v>424</v>
      </c>
      <c r="B9" s="10"/>
      <c r="C9" s="10" t="s">
        <v>230</v>
      </c>
    </row>
    <row r="10" customFormat="false" ht="15" hidden="false" customHeight="true" outlineLevel="0" collapsed="false">
      <c r="A10" s="3" t="s">
        <v>249</v>
      </c>
      <c r="B10" s="3"/>
      <c r="C10" s="29" t="n">
        <f aca="false">'05_Labour_Engine'!L7</f>
        <v>0.933333333333333</v>
      </c>
    </row>
    <row r="11" customFormat="false" ht="15" hidden="false" customHeight="true" outlineLevel="0" collapsed="false">
      <c r="A11" s="3" t="s">
        <v>255</v>
      </c>
      <c r="B11" s="3"/>
      <c r="C11" s="29" t="n">
        <f aca="false">'05_Labour_Engine'!L9</f>
        <v>0.149350649350649</v>
      </c>
    </row>
    <row r="12" customFormat="false" ht="15" hidden="false" customHeight="true" outlineLevel="0" collapsed="false">
      <c r="A12" s="3" t="s">
        <v>263</v>
      </c>
      <c r="B12" s="3"/>
      <c r="C12" s="29" t="n">
        <f aca="false">'05_Labour_Engine'!L12</f>
        <v>0.395833333333333</v>
      </c>
    </row>
    <row r="13" customFormat="false" ht="15" hidden="false" customHeight="true" outlineLevel="0" collapsed="false">
      <c r="A13" s="3" t="s">
        <v>425</v>
      </c>
      <c r="B13" s="3"/>
      <c r="C13" s="29" t="n">
        <f aca="false">'05_Labour_Engine'!L13</f>
        <v>0.5</v>
      </c>
    </row>
    <row r="14" customFormat="false" ht="15" hidden="false" customHeight="true" outlineLevel="0" collapsed="false">
      <c r="A14" s="3" t="s">
        <v>426</v>
      </c>
      <c r="B14" s="3"/>
      <c r="C14" s="30" t="e">
        <f aca="false">'05_Labour_Engine'!P17</f>
        <v>#VALUE!</v>
      </c>
    </row>
    <row r="16" customFormat="false" ht="15" hidden="false" customHeight="true" outlineLevel="0" collapsed="false">
      <c r="A16" s="10" t="s">
        <v>427</v>
      </c>
      <c r="B16" s="10"/>
      <c r="C16" s="10" t="s">
        <v>281</v>
      </c>
    </row>
    <row r="17" customFormat="false" ht="15" hidden="false" customHeight="true" outlineLevel="0" collapsed="false">
      <c r="A17" s="3" t="s">
        <v>417</v>
      </c>
      <c r="B17" s="3"/>
      <c r="C17" s="25" t="n">
        <f aca="false">COUNTA('10_References'!A4:A13)</f>
        <v>10</v>
      </c>
    </row>
    <row r="18" customFormat="false" ht="15" hidden="false" customHeight="true" outlineLevel="0" collapsed="false">
      <c r="A18" s="3" t="s">
        <v>162</v>
      </c>
      <c r="B18" s="3"/>
      <c r="C18" s="25" t="n">
        <f aca="false">COUNTIF('10_References'!E4:E13,"Live")</f>
        <v>8</v>
      </c>
    </row>
    <row r="19" customFormat="false" ht="15" hidden="false" customHeight="true" outlineLevel="0" collapsed="false">
      <c r="A19" s="3" t="s">
        <v>428</v>
      </c>
      <c r="B19" s="3"/>
      <c r="C19" s="25" t="n">
        <f aca="false">'06_PRISMA'!B11</f>
        <v>10</v>
      </c>
    </row>
    <row r="21" customFormat="false" ht="15" hidden="false" customHeight="true" outlineLevel="0" collapsed="false">
      <c r="A21" s="2" t="s">
        <v>429</v>
      </c>
      <c r="B21" s="2"/>
      <c r="C21" s="2"/>
    </row>
    <row r="22" customFormat="false" ht="15" hidden="false" customHeight="true" outlineLevel="0" collapsed="false">
      <c r="A22" s="3" t="s">
        <v>430</v>
      </c>
      <c r="B22" s="3"/>
      <c r="C22" s="8" t="s">
        <v>178</v>
      </c>
    </row>
    <row r="23" customFormat="false" ht="15" hidden="false" customHeight="true" outlineLevel="0" collapsed="false">
      <c r="A23" s="3" t="s">
        <v>431</v>
      </c>
      <c r="B23" s="3"/>
      <c r="C23" s="8" t="s">
        <v>178</v>
      </c>
    </row>
    <row r="24" customFormat="false" ht="15" hidden="false" customHeight="true" outlineLevel="0" collapsed="false">
      <c r="A24" s="3" t="s">
        <v>432</v>
      </c>
      <c r="B24" s="3"/>
      <c r="C24" s="8" t="s">
        <v>178</v>
      </c>
    </row>
    <row r="25" customFormat="false" ht="15" hidden="false" customHeight="true" outlineLevel="0" collapsed="false">
      <c r="A25" s="3" t="s">
        <v>433</v>
      </c>
      <c r="B25" s="3"/>
      <c r="C25" s="8" t="s">
        <v>178</v>
      </c>
    </row>
    <row r="26" customFormat="false" ht="15" hidden="false" customHeight="true" outlineLevel="0" collapsed="false">
      <c r="A26" s="3" t="s">
        <v>434</v>
      </c>
      <c r="B26" s="3"/>
      <c r="C26" s="8" t="s">
        <v>178</v>
      </c>
    </row>
    <row r="27" customFormat="false" ht="15" hidden="false" customHeight="true" outlineLevel="0" collapsed="false">
      <c r="A27" s="3" t="s">
        <v>435</v>
      </c>
      <c r="B27" s="3"/>
      <c r="C27" s="8" t="s">
        <v>178</v>
      </c>
    </row>
    <row r="28" customFormat="false" ht="15" hidden="false" customHeight="true" outlineLevel="0" collapsed="false">
      <c r="A28" s="3" t="s">
        <v>436</v>
      </c>
      <c r="B28" s="3"/>
      <c r="C28" s="8" t="s">
        <v>178</v>
      </c>
    </row>
    <row r="29" customFormat="false" ht="15" hidden="false" customHeight="true" outlineLevel="0" collapsed="false">
      <c r="A29" s="3" t="s">
        <v>437</v>
      </c>
      <c r="B29" s="3"/>
      <c r="C29" s="8" t="s">
        <v>178</v>
      </c>
    </row>
    <row r="30" customFormat="false" ht="15" hidden="false" customHeight="true" outlineLevel="0" collapsed="false">
      <c r="A30" s="3" t="s">
        <v>438</v>
      </c>
      <c r="B30" s="3"/>
      <c r="C30" s="8" t="s">
        <v>178</v>
      </c>
    </row>
    <row r="31" customFormat="false" ht="15" hidden="false" customHeight="true" outlineLevel="0" collapsed="false">
      <c r="A31" s="3" t="s">
        <v>439</v>
      </c>
      <c r="B31" s="3"/>
      <c r="C31" s="8" t="s">
        <v>178</v>
      </c>
    </row>
  </sheetData>
  <mergeCells count="23">
    <mergeCell ref="A1:D1"/>
    <mergeCell ref="A2:D2"/>
    <mergeCell ref="A9:B9"/>
    <mergeCell ref="A10:B10"/>
    <mergeCell ref="A11:B11"/>
    <mergeCell ref="A12:B12"/>
    <mergeCell ref="A13:B13"/>
    <mergeCell ref="A14:B14"/>
    <mergeCell ref="A16:B16"/>
    <mergeCell ref="A17:B17"/>
    <mergeCell ref="A18:B18"/>
    <mergeCell ref="A19:B19"/>
    <mergeCell ref="A21:C21"/>
    <mergeCell ref="A22:B22"/>
    <mergeCell ref="A23:B23"/>
    <mergeCell ref="A24:B24"/>
    <mergeCell ref="A25:B25"/>
    <mergeCell ref="A26:B26"/>
    <mergeCell ref="A27:B27"/>
    <mergeCell ref="A28:B28"/>
    <mergeCell ref="A29:B29"/>
    <mergeCell ref="A30:B30"/>
    <mergeCell ref="A31:B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2026-05-30T17:16:16Z</dcterms:created>
  <dc:creator>openpyxl</dc:creator>
  <dc:description/>
  <dc:language>en-US</dc:language>
  <cp:lastModifiedBy/>
  <dcterms:modified xsi:type="dcterms:W3CDTF">2026-05-30T17:16:16Z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